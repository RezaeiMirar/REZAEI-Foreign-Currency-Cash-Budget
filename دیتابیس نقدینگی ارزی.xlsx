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DB9D0CED-E8EB-482F-8277-7791282DE8AE}" xr6:coauthVersionLast="45" xr6:coauthVersionMax="47" xr10:uidLastSave="{00000000-0000-0000-0000-000000000000}"/>
  <bookViews>
    <workbookView xWindow="-120" yWindow="-120" windowWidth="20730" windowHeight="11160" tabRatio="652" xr2:uid="{8EFB51A1-238F-433B-9E3E-E76BDD07FFC3}"/>
  </bookViews>
  <sheets>
    <sheet name="نقدینگی ارزی" sheetId="54" r:id="rId1"/>
    <sheet name="قرض ارزی" sheetId="61" r:id="rId2"/>
    <sheet name="ریز نقدینگی ارزی" sheetId="56" state="hidden" r:id="rId3"/>
    <sheet name="ریز گزارش ارزی" sheetId="55" r:id="rId4"/>
  </sheets>
  <externalReferences>
    <externalReference r:id="rId5"/>
  </externalReferences>
  <definedNames>
    <definedName name="_xlnm._FilterDatabase" localSheetId="3" hidden="1">'ریز گزارش ارزی'!$A$7:$AY$7</definedName>
    <definedName name="_xlnm._FilterDatabase" localSheetId="1" hidden="1">'قرض ارزی'!$B$5:$N$191</definedName>
    <definedName name="_xlcn.WorksheetConnection_بودجهB3M1161" hidden="1">[1]بودجه!$B$4:$C$97</definedName>
    <definedName name="Slicer_ارز">#N/A</definedName>
    <definedName name="Slicer_کد_پروژه">#N/A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بودجه!$B$3:$M$116"/>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N40" i="55" l="1"/>
  <c r="N36" i="55"/>
  <c r="N32" i="55"/>
  <c r="N28" i="55"/>
  <c r="N26" i="55"/>
  <c r="N22" i="55"/>
  <c r="N21" i="55"/>
  <c r="N10" i="55"/>
  <c r="N50" i="55"/>
  <c r="N54" i="55"/>
  <c r="N62" i="55"/>
  <c r="N60" i="55"/>
  <c r="AM17" i="55"/>
  <c r="AN17" i="55" s="1"/>
  <c r="AK17" i="55"/>
  <c r="AG17" i="55"/>
  <c r="U17" i="55"/>
  <c r="AC17" i="55" s="1"/>
  <c r="M17" i="55"/>
  <c r="N17" i="55" s="1"/>
  <c r="V17" i="55" l="1"/>
  <c r="N53" i="55"/>
  <c r="N46" i="55"/>
  <c r="AL64" i="55"/>
  <c r="AM65" i="55"/>
  <c r="AN65" i="55" s="1"/>
  <c r="AK65" i="55"/>
  <c r="U65" i="55"/>
  <c r="V65" i="55" s="1"/>
  <c r="AK64" i="55"/>
  <c r="U64" i="55"/>
  <c r="V64" i="55" s="1"/>
  <c r="N9" i="55"/>
  <c r="AM64" i="55" l="1"/>
  <c r="AN64" i="55" s="1"/>
  <c r="AC65" i="55" s="1"/>
  <c r="M59" i="56"/>
  <c r="M58" i="56"/>
  <c r="M57" i="56"/>
  <c r="M56" i="56"/>
  <c r="M55" i="56"/>
  <c r="M54" i="56"/>
  <c r="M53" i="56"/>
  <c r="M52" i="56"/>
  <c r="M51" i="56"/>
  <c r="M50" i="56"/>
  <c r="M49" i="56"/>
  <c r="M48" i="56"/>
  <c r="M47" i="56"/>
  <c r="M46" i="56"/>
  <c r="M31" i="56"/>
  <c r="M30" i="56"/>
  <c r="M29" i="56"/>
  <c r="M28" i="56"/>
  <c r="M27" i="56"/>
  <c r="M26" i="56"/>
  <c r="M25" i="56"/>
  <c r="M24" i="56"/>
  <c r="M23" i="56"/>
  <c r="M22" i="56"/>
  <c r="M21" i="56"/>
  <c r="M20" i="56"/>
  <c r="M19" i="56"/>
  <c r="M18" i="56"/>
  <c r="M8" i="56" l="1"/>
  <c r="AQ30" i="55" l="1"/>
  <c r="AQ63" i="55" l="1"/>
  <c r="AQ37" i="55"/>
  <c r="AQ33" i="55"/>
  <c r="AQ29" i="55"/>
  <c r="AQ62" i="55"/>
  <c r="AQ36" i="55"/>
  <c r="AQ32" i="55"/>
  <c r="AQ28" i="55"/>
  <c r="AQ21" i="55"/>
  <c r="P36" i="55" l="1"/>
  <c r="M19" i="55" l="1"/>
  <c r="N19" i="55" s="1"/>
  <c r="M20" i="55"/>
  <c r="N20" i="55" s="1"/>
  <c r="AM20" i="55"/>
  <c r="AN20" i="55" s="1"/>
  <c r="AK20" i="55"/>
  <c r="AG20" i="55"/>
  <c r="U20" i="55"/>
  <c r="V20" i="55" s="1"/>
  <c r="AM19" i="55"/>
  <c r="AN19" i="55" s="1"/>
  <c r="AK19" i="55"/>
  <c r="AG19" i="55"/>
  <c r="U19" i="55"/>
  <c r="V19" i="55" s="1"/>
  <c r="M18" i="55"/>
  <c r="N18" i="55" s="1"/>
  <c r="M16" i="55"/>
  <c r="AM18" i="55"/>
  <c r="AN18" i="55" s="1"/>
  <c r="AK18" i="55"/>
  <c r="AG18" i="55"/>
  <c r="U18" i="55"/>
  <c r="V18" i="55" s="1"/>
  <c r="AC18" i="55" l="1"/>
  <c r="AC19" i="55"/>
  <c r="AC20" i="55"/>
  <c r="N16" i="55" l="1"/>
  <c r="M15" i="55"/>
  <c r="N15" i="55" s="1"/>
  <c r="AM16" i="55"/>
  <c r="AN16" i="55" s="1"/>
  <c r="AK16" i="55"/>
  <c r="AG16" i="55"/>
  <c r="U16" i="55"/>
  <c r="V16" i="55" l="1"/>
  <c r="AC16" i="55"/>
  <c r="AH63" i="55" l="1"/>
  <c r="AM63" i="55" l="1"/>
  <c r="AN63" i="55" s="1"/>
  <c r="AK63" i="55"/>
  <c r="AG63" i="55"/>
  <c r="U63" i="55"/>
  <c r="V63" i="55" s="1"/>
  <c r="N61" i="55" l="1"/>
  <c r="AM54" i="55"/>
  <c r="AN54" i="55" s="1"/>
  <c r="AK54" i="55"/>
  <c r="U54" i="55"/>
  <c r="V54" i="55" s="1"/>
  <c r="AH57" i="55"/>
  <c r="AM57" i="55"/>
  <c r="AN57" i="55" s="1"/>
  <c r="AK57" i="55"/>
  <c r="AG57" i="55"/>
  <c r="U57" i="55"/>
  <c r="V57" i="55" s="1"/>
  <c r="P34" i="55" l="1"/>
  <c r="AM35" i="55"/>
  <c r="AN35" i="55" s="1"/>
  <c r="AK35" i="55"/>
  <c r="AG35" i="55"/>
  <c r="U35" i="55"/>
  <c r="V35" i="55" s="1"/>
  <c r="P35" i="55"/>
  <c r="AG34" i="55"/>
  <c r="AM34" i="55"/>
  <c r="AN34" i="55" s="1"/>
  <c r="AK34" i="55"/>
  <c r="U34" i="55"/>
  <c r="V34" i="55" s="1"/>
  <c r="AK52" i="55" l="1"/>
  <c r="AM52" i="55"/>
  <c r="AN52" i="55" s="1"/>
  <c r="AK53" i="55"/>
  <c r="AM53" i="55"/>
  <c r="AN53" i="55" s="1"/>
  <c r="AH52" i="55"/>
  <c r="U52" i="55"/>
  <c r="V52" i="55" s="1"/>
  <c r="U53" i="55"/>
  <c r="V53" i="55" s="1"/>
  <c r="AH47" i="55" l="1"/>
  <c r="AH51" i="55"/>
  <c r="AH41" i="55"/>
  <c r="AH37" i="55"/>
  <c r="AH33" i="55"/>
  <c r="AH29" i="55"/>
  <c r="AH27" i="55"/>
  <c r="AH23" i="55"/>
  <c r="AG51" i="55" l="1"/>
  <c r="AK50" i="55"/>
  <c r="AM50" i="55"/>
  <c r="AN50" i="55" s="1"/>
  <c r="AK51" i="55"/>
  <c r="AM51" i="55"/>
  <c r="AN51" i="55" s="1"/>
  <c r="M71" i="56" l="1"/>
  <c r="M67" i="56"/>
  <c r="M70" i="56"/>
  <c r="M66" i="56"/>
  <c r="M68" i="56"/>
  <c r="G84" i="56"/>
  <c r="G76" i="56"/>
  <c r="G54" i="56"/>
  <c r="G46" i="56"/>
  <c r="G112" i="56"/>
  <c r="G104" i="56"/>
  <c r="G166" i="56"/>
  <c r="G158" i="56"/>
  <c r="G136" i="56"/>
  <c r="G85" i="56"/>
  <c r="G77" i="56"/>
  <c r="G55" i="56"/>
  <c r="G47" i="56"/>
  <c r="G18" i="56"/>
  <c r="G107" i="56"/>
  <c r="G169" i="56"/>
  <c r="G161" i="56"/>
  <c r="G139" i="56"/>
  <c r="G131" i="56"/>
  <c r="G27" i="56"/>
  <c r="G163" i="56"/>
  <c r="G31" i="56"/>
  <c r="G115" i="56"/>
  <c r="G82" i="56"/>
  <c r="G74" i="56"/>
  <c r="G52" i="56"/>
  <c r="G28" i="56"/>
  <c r="G110" i="56"/>
  <c r="G102" i="56"/>
  <c r="G164" i="56"/>
  <c r="G142" i="56"/>
  <c r="G134" i="56"/>
  <c r="G114" i="56"/>
  <c r="G83" i="56"/>
  <c r="G75" i="56"/>
  <c r="G53" i="56"/>
  <c r="G30" i="56"/>
  <c r="G113" i="56"/>
  <c r="G105" i="56"/>
  <c r="G167" i="56"/>
  <c r="G159" i="56"/>
  <c r="G137" i="56"/>
  <c r="G157" i="56"/>
  <c r="G29" i="56"/>
  <c r="G23" i="56"/>
  <c r="G87" i="56"/>
  <c r="G49" i="56"/>
  <c r="G171" i="56"/>
  <c r="G133" i="56"/>
  <c r="G80" i="56"/>
  <c r="G58" i="56"/>
  <c r="G50" i="56"/>
  <c r="G24" i="56"/>
  <c r="G108" i="56"/>
  <c r="G170" i="56"/>
  <c r="G162" i="56"/>
  <c r="G140" i="56"/>
  <c r="G132" i="56"/>
  <c r="G81" i="56"/>
  <c r="G59" i="56"/>
  <c r="G51" i="56"/>
  <c r="G26" i="56"/>
  <c r="G111" i="56"/>
  <c r="G103" i="56"/>
  <c r="G165" i="56"/>
  <c r="G143" i="56"/>
  <c r="G135" i="56"/>
  <c r="G25" i="56"/>
  <c r="G19" i="56"/>
  <c r="G79" i="56"/>
  <c r="G22" i="56"/>
  <c r="G141" i="56"/>
  <c r="G21" i="56"/>
  <c r="G86" i="56"/>
  <c r="G78" i="56"/>
  <c r="G56" i="56"/>
  <c r="G48" i="56"/>
  <c r="G20" i="56"/>
  <c r="G106" i="56"/>
  <c r="G168" i="56"/>
  <c r="G160" i="56"/>
  <c r="G138" i="56"/>
  <c r="G130" i="56"/>
  <c r="G57" i="56"/>
  <c r="G109" i="56"/>
  <c r="U50" i="55"/>
  <c r="V50" i="55" s="1"/>
  <c r="U51" i="55"/>
  <c r="V51" i="55" s="1"/>
  <c r="AM49" i="55"/>
  <c r="AN49" i="55" s="1"/>
  <c r="AK49" i="55"/>
  <c r="AG49" i="55"/>
  <c r="U49" i="55"/>
  <c r="V49" i="55" s="1"/>
  <c r="AM48" i="55"/>
  <c r="AN48" i="55" s="1"/>
  <c r="AK48" i="55"/>
  <c r="AG48" i="55"/>
  <c r="U48" i="55"/>
  <c r="V48" i="55" s="1"/>
  <c r="K27" i="54" l="1"/>
  <c r="K28" i="54"/>
  <c r="AM47" i="55"/>
  <c r="AN47" i="55" s="1"/>
  <c r="AK47" i="55"/>
  <c r="U47" i="55"/>
  <c r="V47" i="55" s="1"/>
  <c r="AM46" i="55"/>
  <c r="AN46" i="55" s="1"/>
  <c r="AK46" i="55"/>
  <c r="U46" i="55"/>
  <c r="V46" i="55" s="1"/>
  <c r="AG31" i="55"/>
  <c r="U42" i="55" l="1"/>
  <c r="V42" i="55" s="1"/>
  <c r="U43" i="55"/>
  <c r="V43" i="55" s="1"/>
  <c r="U40" i="55"/>
  <c r="V40" i="55" s="1"/>
  <c r="U41" i="55"/>
  <c r="V41" i="55" s="1"/>
  <c r="U44" i="55"/>
  <c r="V44" i="55" s="1"/>
  <c r="U45" i="55"/>
  <c r="V45" i="55" s="1"/>
  <c r="AK42" i="55"/>
  <c r="AM42" i="55"/>
  <c r="AN42" i="55" s="1"/>
  <c r="AK43" i="55"/>
  <c r="AM43" i="55"/>
  <c r="AN43" i="55" s="1"/>
  <c r="AK40" i="55"/>
  <c r="AM40" i="55"/>
  <c r="AN40" i="55" s="1"/>
  <c r="AK41" i="55"/>
  <c r="AM41" i="55"/>
  <c r="AN41" i="55" s="1"/>
  <c r="AK44" i="55"/>
  <c r="AM44" i="55"/>
  <c r="AN44" i="55" s="1"/>
  <c r="AK45" i="55"/>
  <c r="AM45" i="55"/>
  <c r="AN45" i="55" s="1"/>
  <c r="AG41" i="55"/>
  <c r="AG45" i="55"/>
  <c r="AG44" i="55"/>
  <c r="U23" i="55" l="1"/>
  <c r="V23" i="55" s="1"/>
  <c r="U24" i="55"/>
  <c r="V24" i="55" s="1"/>
  <c r="AM23" i="55"/>
  <c r="AN23" i="55" s="1"/>
  <c r="AK23" i="55"/>
  <c r="AK38" i="55" l="1"/>
  <c r="AM38" i="55"/>
  <c r="AN38" i="55" s="1"/>
  <c r="AK39" i="55"/>
  <c r="AM39" i="55"/>
  <c r="AN39" i="55" s="1"/>
  <c r="AG8" i="55"/>
  <c r="AG23" i="55" l="1"/>
  <c r="AM15" i="55"/>
  <c r="AN15" i="55" s="1"/>
  <c r="AM21" i="55"/>
  <c r="AN21" i="55" s="1"/>
  <c r="AM22" i="55"/>
  <c r="AN22" i="55" s="1"/>
  <c r="AM24" i="55"/>
  <c r="AN24" i="55" s="1"/>
  <c r="AM25" i="55"/>
  <c r="AN25" i="55" s="1"/>
  <c r="AM26" i="55"/>
  <c r="AN26" i="55" s="1"/>
  <c r="AM27" i="55"/>
  <c r="AN27" i="55" s="1"/>
  <c r="AM28" i="55"/>
  <c r="AN28" i="55" s="1"/>
  <c r="AM29" i="55"/>
  <c r="AN29" i="55" s="1"/>
  <c r="AM30" i="55"/>
  <c r="AN30" i="55" s="1"/>
  <c r="AM31" i="55"/>
  <c r="AN31" i="55" s="1"/>
  <c r="AM32" i="55"/>
  <c r="AN32" i="55" s="1"/>
  <c r="AM33" i="55"/>
  <c r="AN33" i="55" s="1"/>
  <c r="AM11" i="55"/>
  <c r="AN11" i="55" s="1"/>
  <c r="AM12" i="55"/>
  <c r="AN12" i="55" s="1"/>
  <c r="AM36" i="55"/>
  <c r="AN36" i="55" s="1"/>
  <c r="AM37" i="55"/>
  <c r="AN37" i="55" s="1"/>
  <c r="AM13" i="55"/>
  <c r="AN13" i="55" s="1"/>
  <c r="AM14" i="55"/>
  <c r="AN14" i="55" s="1"/>
  <c r="AM55" i="55"/>
  <c r="AN55" i="55" s="1"/>
  <c r="AM56" i="55"/>
  <c r="AN56" i="55" s="1"/>
  <c r="AM58" i="55"/>
  <c r="AN58" i="55" s="1"/>
  <c r="AM59" i="55"/>
  <c r="AN59" i="55" s="1"/>
  <c r="AM60" i="55"/>
  <c r="AN60" i="55" s="1"/>
  <c r="AM61" i="55"/>
  <c r="AN61" i="55" s="1"/>
  <c r="AM62" i="55"/>
  <c r="AN62" i="55" s="1"/>
  <c r="AK21" i="55"/>
  <c r="AK22" i="55"/>
  <c r="AK24" i="55"/>
  <c r="AK25" i="55"/>
  <c r="AK26" i="55"/>
  <c r="AK27" i="55"/>
  <c r="AK28" i="55"/>
  <c r="AK29" i="55"/>
  <c r="AK30" i="55"/>
  <c r="AK31" i="55"/>
  <c r="AK32" i="55"/>
  <c r="AK33" i="55"/>
  <c r="AK11" i="55"/>
  <c r="AK12" i="55"/>
  <c r="AK36" i="55"/>
  <c r="AK37" i="55"/>
  <c r="AK13" i="55"/>
  <c r="AK14" i="55"/>
  <c r="AK55" i="55"/>
  <c r="AK56" i="55"/>
  <c r="AK58" i="55"/>
  <c r="AK59" i="55"/>
  <c r="AK60" i="55"/>
  <c r="AK61" i="55"/>
  <c r="AK62" i="55"/>
  <c r="AK10" i="55"/>
  <c r="AK15" i="55"/>
  <c r="U22" i="55"/>
  <c r="V22" i="55" s="1"/>
  <c r="U25" i="55"/>
  <c r="V25" i="55" s="1"/>
  <c r="U26" i="55"/>
  <c r="V26" i="55" s="1"/>
  <c r="U27" i="55"/>
  <c r="V27" i="55" s="1"/>
  <c r="U28" i="55"/>
  <c r="V28" i="55" s="1"/>
  <c r="U29" i="55"/>
  <c r="V29" i="55" s="1"/>
  <c r="U30" i="55"/>
  <c r="V30" i="55" s="1"/>
  <c r="U31" i="55"/>
  <c r="V31" i="55" s="1"/>
  <c r="U32" i="55"/>
  <c r="V32" i="55" s="1"/>
  <c r="U33" i="55"/>
  <c r="V33" i="55" s="1"/>
  <c r="U11" i="55"/>
  <c r="V11" i="55" s="1"/>
  <c r="U12" i="55"/>
  <c r="V12" i="55" s="1"/>
  <c r="U36" i="55"/>
  <c r="V36" i="55" s="1"/>
  <c r="U37" i="55"/>
  <c r="V37" i="55" s="1"/>
  <c r="U13" i="55"/>
  <c r="V13" i="55" s="1"/>
  <c r="U14" i="55"/>
  <c r="V14" i="55" s="1"/>
  <c r="U38" i="55"/>
  <c r="V38" i="55" s="1"/>
  <c r="U39" i="55"/>
  <c r="V39" i="55" s="1"/>
  <c r="U55" i="55"/>
  <c r="V55" i="55" s="1"/>
  <c r="U56" i="55"/>
  <c r="V56" i="55" s="1"/>
  <c r="U58" i="55"/>
  <c r="V58" i="55" s="1"/>
  <c r="U59" i="55"/>
  <c r="V59" i="55" s="1"/>
  <c r="U60" i="55"/>
  <c r="V60" i="55" s="1"/>
  <c r="U61" i="55"/>
  <c r="V61" i="55" s="1"/>
  <c r="U62" i="55"/>
  <c r="V62" i="55" s="1"/>
  <c r="U21" i="55"/>
  <c r="V21" i="55" s="1"/>
  <c r="AG27" i="55"/>
  <c r="AG29" i="55"/>
  <c r="AG37" i="55"/>
  <c r="AG36" i="55"/>
  <c r="AG33" i="55"/>
  <c r="AG25" i="55" l="1"/>
  <c r="AG30" i="55"/>
  <c r="AG10" i="55"/>
  <c r="AG13" i="55"/>
  <c r="AG14" i="55"/>
  <c r="AG32" i="55"/>
  <c r="AG40" i="55"/>
  <c r="AG38" i="55"/>
  <c r="AG39" i="55"/>
  <c r="AG50" i="55"/>
  <c r="AG42" i="55"/>
  <c r="AG43" i="55"/>
  <c r="AG55" i="55"/>
  <c r="AG56" i="55"/>
  <c r="AG58" i="55"/>
  <c r="AG59" i="55"/>
  <c r="AG62" i="55"/>
  <c r="AG9" i="55"/>
  <c r="AG15" i="55"/>
  <c r="AG21" i="55"/>
  <c r="AG22" i="55"/>
  <c r="AG26" i="55"/>
  <c r="AG28" i="55"/>
  <c r="AG24" i="55"/>
  <c r="M64" i="56" l="1"/>
  <c r="K29" i="54" s="1"/>
  <c r="M65" i="56"/>
  <c r="M69" i="56"/>
  <c r="H187" i="61"/>
  <c r="H186" i="61"/>
  <c r="H185" i="61"/>
  <c r="H184" i="61"/>
  <c r="H183" i="61"/>
  <c r="H182" i="61"/>
  <c r="H181" i="61"/>
  <c r="H180" i="61"/>
  <c r="H179" i="61"/>
  <c r="H178" i="61"/>
  <c r="H177" i="61"/>
  <c r="H176" i="61"/>
  <c r="H175" i="61"/>
  <c r="H174" i="61"/>
  <c r="H173" i="61"/>
  <c r="H172" i="61"/>
  <c r="H171" i="61"/>
  <c r="H170" i="61"/>
  <c r="H169" i="61"/>
  <c r="H168" i="61"/>
  <c r="H167" i="61"/>
  <c r="H166" i="61"/>
  <c r="H165" i="61"/>
  <c r="H164" i="61"/>
  <c r="H163" i="61"/>
  <c r="H162" i="61"/>
  <c r="H161" i="61"/>
  <c r="H160" i="61"/>
  <c r="H159" i="61"/>
  <c r="H158" i="61"/>
  <c r="H157" i="61"/>
  <c r="H156" i="61"/>
  <c r="H155" i="61"/>
  <c r="H154" i="61"/>
  <c r="H153" i="61"/>
  <c r="H152" i="61"/>
  <c r="H151" i="61"/>
  <c r="H150" i="61"/>
  <c r="H149" i="61"/>
  <c r="H148" i="61"/>
  <c r="H147" i="61"/>
  <c r="H146" i="61"/>
  <c r="H145" i="61"/>
  <c r="H144" i="61"/>
  <c r="H143" i="61"/>
  <c r="H142" i="61"/>
  <c r="H141" i="61"/>
  <c r="H140" i="61"/>
  <c r="H139" i="61"/>
  <c r="H138" i="61"/>
  <c r="H137" i="61"/>
  <c r="H136" i="61"/>
  <c r="H135" i="61"/>
  <c r="H134" i="61"/>
  <c r="H133" i="61"/>
  <c r="H132" i="61"/>
  <c r="H131" i="61"/>
  <c r="H130" i="61"/>
  <c r="H129" i="61"/>
  <c r="H128" i="61"/>
  <c r="H127" i="61"/>
  <c r="H126" i="61"/>
  <c r="H125" i="61"/>
  <c r="H124" i="61"/>
  <c r="H123" i="61"/>
  <c r="H122" i="61"/>
  <c r="H121" i="61"/>
  <c r="H120" i="61"/>
  <c r="H119" i="61"/>
  <c r="H118" i="61"/>
  <c r="H117" i="61"/>
  <c r="H116" i="61"/>
  <c r="H115" i="61"/>
  <c r="H114" i="61"/>
  <c r="H113" i="61"/>
  <c r="H112" i="61"/>
  <c r="H111" i="61"/>
  <c r="H110" i="61"/>
  <c r="H109" i="61"/>
  <c r="H108" i="61"/>
  <c r="H107" i="61"/>
  <c r="H106" i="61"/>
  <c r="H105" i="61"/>
  <c r="H104"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3" i="61"/>
  <c r="J151" i="61"/>
  <c r="J149" i="61"/>
  <c r="J147" i="61"/>
  <c r="J145" i="61"/>
  <c r="J143" i="61"/>
  <c r="J141" i="61"/>
  <c r="J139" i="61"/>
  <c r="J137" i="61"/>
  <c r="J134" i="61"/>
  <c r="J130" i="61"/>
  <c r="J126" i="61"/>
  <c r="J122" i="61"/>
  <c r="J118" i="61"/>
  <c r="J114" i="61"/>
  <c r="J110" i="61"/>
  <c r="J106" i="61"/>
  <c r="J135" i="61"/>
  <c r="J131" i="61"/>
  <c r="J127" i="61"/>
  <c r="J123" i="61"/>
  <c r="J119" i="61"/>
  <c r="J115" i="61"/>
  <c r="J111" i="61"/>
  <c r="J107" i="61"/>
  <c r="J103" i="61"/>
  <c r="J102" i="61"/>
  <c r="J101" i="61"/>
  <c r="J100" i="61"/>
  <c r="J99" i="61"/>
  <c r="J98" i="61"/>
  <c r="J97" i="61"/>
  <c r="J96" i="61"/>
  <c r="J88" i="61"/>
  <c r="J80" i="61"/>
  <c r="J72" i="61"/>
  <c r="J64" i="61"/>
  <c r="J56" i="61"/>
  <c r="J48" i="61"/>
  <c r="J95" i="61"/>
  <c r="J94" i="61"/>
  <c r="J93" i="61"/>
  <c r="J92" i="61"/>
  <c r="J91" i="61"/>
  <c r="J90" i="61"/>
  <c r="J89" i="61"/>
  <c r="J87" i="61"/>
  <c r="J86" i="61"/>
  <c r="J85" i="61"/>
  <c r="J84" i="61"/>
  <c r="J83" i="61"/>
  <c r="J82" i="61"/>
  <c r="J81" i="61"/>
  <c r="J79" i="61"/>
  <c r="J78" i="61"/>
  <c r="J77" i="61"/>
  <c r="J76" i="61"/>
  <c r="J75" i="61"/>
  <c r="J74" i="61"/>
  <c r="J73" i="61"/>
  <c r="J71" i="61"/>
  <c r="J70" i="61"/>
  <c r="J69" i="61"/>
  <c r="J68" i="61"/>
  <c r="J67" i="61"/>
  <c r="J66" i="61"/>
  <c r="J65" i="61"/>
  <c r="J63" i="61"/>
  <c r="J154" i="61"/>
  <c r="J152" i="61"/>
  <c r="J150" i="61"/>
  <c r="J148" i="61"/>
  <c r="J146" i="61"/>
  <c r="J144" i="61"/>
  <c r="J142" i="61"/>
  <c r="J140" i="61"/>
  <c r="J138" i="61"/>
  <c r="J136" i="61"/>
  <c r="J132" i="61"/>
  <c r="J128" i="61"/>
  <c r="J124" i="61"/>
  <c r="J120" i="61"/>
  <c r="J116" i="61"/>
  <c r="J112" i="61"/>
  <c r="J108" i="61"/>
  <c r="J104" i="61"/>
  <c r="J133" i="61"/>
  <c r="J129" i="61"/>
  <c r="J125" i="61"/>
  <c r="J121" i="61"/>
  <c r="J117" i="61"/>
  <c r="J113" i="61"/>
  <c r="J109" i="61"/>
  <c r="J105" i="61"/>
  <c r="H103" i="61"/>
  <c r="H102" i="61"/>
  <c r="H101" i="61"/>
  <c r="H100" i="61"/>
  <c r="H99" i="61"/>
  <c r="H98" i="61"/>
  <c r="H97" i="61"/>
  <c r="H96" i="61"/>
  <c r="H88" i="61"/>
  <c r="H80" i="61"/>
  <c r="H72" i="61"/>
  <c r="H64" i="61"/>
  <c r="H56" i="61"/>
  <c r="H48" i="61"/>
  <c r="H95" i="61"/>
  <c r="H94" i="61"/>
  <c r="H93" i="61"/>
  <c r="H92" i="61"/>
  <c r="H91" i="61"/>
  <c r="H90" i="61"/>
  <c r="H89" i="61"/>
  <c r="H87" i="61"/>
  <c r="H86" i="61"/>
  <c r="H85" i="61"/>
  <c r="H84" i="61"/>
  <c r="H83" i="61"/>
  <c r="H82" i="61"/>
  <c r="H81" i="61"/>
  <c r="H79" i="61"/>
  <c r="H78" i="61"/>
  <c r="H74" i="61"/>
  <c r="H69" i="61"/>
  <c r="H42" i="61"/>
  <c r="H43" i="61"/>
  <c r="H44" i="61"/>
  <c r="H45" i="61"/>
  <c r="H46" i="61"/>
  <c r="H47" i="61"/>
  <c r="H37" i="61"/>
  <c r="H38" i="61"/>
  <c r="H39" i="61"/>
  <c r="H40" i="61"/>
  <c r="H41" i="61"/>
  <c r="H32" i="61"/>
  <c r="H33" i="61"/>
  <c r="H34" i="61"/>
  <c r="H35" i="61"/>
  <c r="H36" i="61"/>
  <c r="H23" i="61"/>
  <c r="H24" i="61"/>
  <c r="H25" i="61"/>
  <c r="H26" i="61"/>
  <c r="H27" i="61"/>
  <c r="H28" i="61"/>
  <c r="H29" i="61"/>
  <c r="H30" i="61"/>
  <c r="H31" i="61"/>
  <c r="H17" i="61"/>
  <c r="H18" i="61"/>
  <c r="H19" i="61"/>
  <c r="H20" i="61"/>
  <c r="H21" i="61"/>
  <c r="H22" i="61"/>
  <c r="H16" i="61"/>
  <c r="H13" i="61"/>
  <c r="H14" i="61"/>
  <c r="H15" i="61"/>
  <c r="H77" i="61"/>
  <c r="H73" i="61"/>
  <c r="H68" i="61"/>
  <c r="H66" i="61"/>
  <c r="H63" i="61"/>
  <c r="H62" i="61"/>
  <c r="H61" i="61"/>
  <c r="H60" i="61"/>
  <c r="H59" i="61"/>
  <c r="H58" i="61"/>
  <c r="H57" i="61"/>
  <c r="H55" i="61"/>
  <c r="H54" i="61"/>
  <c r="H53" i="61"/>
  <c r="H52" i="61"/>
  <c r="H51" i="61"/>
  <c r="H50" i="61"/>
  <c r="H49" i="61"/>
  <c r="H7" i="61"/>
  <c r="H8" i="61"/>
  <c r="H9" i="61"/>
  <c r="H10" i="61"/>
  <c r="H11" i="61"/>
  <c r="H76" i="61"/>
  <c r="H71" i="61"/>
  <c r="J42" i="61"/>
  <c r="J43" i="61"/>
  <c r="J44" i="61"/>
  <c r="J45" i="61"/>
  <c r="J46" i="61"/>
  <c r="J47" i="61"/>
  <c r="J37" i="61"/>
  <c r="J38" i="61"/>
  <c r="J39" i="61"/>
  <c r="J40" i="61"/>
  <c r="J41" i="61"/>
  <c r="J32" i="61"/>
  <c r="J33" i="61"/>
  <c r="J34" i="61"/>
  <c r="J35" i="61"/>
  <c r="J36" i="61"/>
  <c r="J23" i="61"/>
  <c r="J24" i="61"/>
  <c r="J25" i="61"/>
  <c r="J26" i="61"/>
  <c r="J27" i="61"/>
  <c r="J28" i="61"/>
  <c r="J29" i="61"/>
  <c r="J30" i="61"/>
  <c r="J31" i="61"/>
  <c r="J17" i="61"/>
  <c r="J18" i="61"/>
  <c r="J19" i="61"/>
  <c r="J20" i="61"/>
  <c r="J21" i="61"/>
  <c r="J22" i="61"/>
  <c r="J16" i="61"/>
  <c r="J13" i="61"/>
  <c r="J14" i="61"/>
  <c r="J15" i="61"/>
  <c r="J12" i="61"/>
  <c r="H75" i="61"/>
  <c r="H70" i="61"/>
  <c r="H67" i="61"/>
  <c r="H65" i="61"/>
  <c r="J62" i="61"/>
  <c r="J61" i="61"/>
  <c r="J60" i="61"/>
  <c r="J59" i="61"/>
  <c r="J58" i="61"/>
  <c r="J57" i="61"/>
  <c r="J55" i="61"/>
  <c r="J54" i="61"/>
  <c r="J53" i="61"/>
  <c r="J52" i="61"/>
  <c r="J51" i="61"/>
  <c r="J50" i="61"/>
  <c r="J49" i="61"/>
  <c r="H12" i="61"/>
  <c r="J7" i="61"/>
  <c r="J8" i="61"/>
  <c r="J9" i="61"/>
  <c r="J10" i="61"/>
  <c r="J11" i="61"/>
  <c r="J6" i="61"/>
  <c r="H6" i="61"/>
  <c r="K30" i="54" l="1"/>
  <c r="H188" i="61"/>
  <c r="J188" i="61"/>
  <c r="G91" i="56"/>
  <c r="G155" i="56"/>
  <c r="G153" i="56"/>
  <c r="G151" i="56"/>
  <c r="G149" i="56"/>
  <c r="G147" i="56"/>
  <c r="G145" i="56"/>
  <c r="G129" i="56"/>
  <c r="G127" i="56"/>
  <c r="G125" i="56"/>
  <c r="G123" i="56"/>
  <c r="G121" i="56"/>
  <c r="G119" i="56"/>
  <c r="G117" i="56"/>
  <c r="G101" i="56"/>
  <c r="G99" i="56"/>
  <c r="G97" i="56"/>
  <c r="G95" i="56"/>
  <c r="G93" i="56"/>
  <c r="G62" i="56"/>
  <c r="G66" i="56"/>
  <c r="G70" i="56"/>
  <c r="G60" i="56"/>
  <c r="G34" i="56"/>
  <c r="G38" i="56"/>
  <c r="G42" i="56"/>
  <c r="G32" i="56"/>
  <c r="G69" i="56"/>
  <c r="G37" i="56"/>
  <c r="G45" i="56"/>
  <c r="G90" i="56"/>
  <c r="G63" i="56"/>
  <c r="G67" i="56"/>
  <c r="G71" i="56"/>
  <c r="G35" i="56"/>
  <c r="G39" i="56"/>
  <c r="G43" i="56"/>
  <c r="G36" i="56"/>
  <c r="G44" i="56"/>
  <c r="G88" i="56"/>
  <c r="G89" i="56"/>
  <c r="G156" i="56"/>
  <c r="G154" i="56"/>
  <c r="G152" i="56"/>
  <c r="G150" i="56"/>
  <c r="G148" i="56"/>
  <c r="G146" i="56"/>
  <c r="G144" i="56"/>
  <c r="G128" i="56"/>
  <c r="G126" i="56"/>
  <c r="G124" i="56"/>
  <c r="G122" i="56"/>
  <c r="G120" i="56"/>
  <c r="G118" i="56"/>
  <c r="G116" i="56"/>
  <c r="G100" i="56"/>
  <c r="G98" i="56"/>
  <c r="G96" i="56"/>
  <c r="G94" i="56"/>
  <c r="G64" i="56"/>
  <c r="G68" i="56"/>
  <c r="G72" i="56"/>
  <c r="G40" i="56"/>
  <c r="G92" i="56"/>
  <c r="G61" i="56"/>
  <c r="G65" i="56"/>
  <c r="G73" i="56"/>
  <c r="G33" i="56"/>
  <c r="G41" i="56"/>
  <c r="G7" i="56"/>
  <c r="G11" i="56"/>
  <c r="G15" i="56"/>
  <c r="G5" i="56"/>
  <c r="G9" i="56"/>
  <c r="G13" i="56"/>
  <c r="G17" i="56"/>
  <c r="G6" i="56"/>
  <c r="G10" i="56"/>
  <c r="G14" i="56"/>
  <c r="G4" i="56"/>
  <c r="G8" i="56"/>
  <c r="G12" i="56"/>
  <c r="G16" i="56"/>
  <c r="AM8" i="55" l="1"/>
  <c r="AN8" i="55" s="1"/>
  <c r="AM10" i="55"/>
  <c r="AN10" i="55" s="1"/>
  <c r="U10" i="55" l="1"/>
  <c r="V10" i="55" s="1"/>
  <c r="AK8" i="55"/>
  <c r="U8" i="55"/>
  <c r="U15" i="55"/>
  <c r="AC15" i="55" s="1"/>
  <c r="AM9" i="55"/>
  <c r="AN9" i="55" s="1"/>
  <c r="AK9" i="55"/>
  <c r="U9" i="55"/>
  <c r="V9" i="55" l="1"/>
  <c r="AC9" i="55"/>
  <c r="V8" i="55"/>
  <c r="AC8" i="55"/>
  <c r="V15" i="55"/>
  <c r="M45" i="56"/>
  <c r="M44" i="56"/>
  <c r="M43" i="56"/>
  <c r="M42" i="56"/>
  <c r="M41" i="56"/>
  <c r="M40" i="56"/>
  <c r="M39" i="56"/>
  <c r="M38" i="56"/>
  <c r="M37" i="56"/>
  <c r="M36" i="56"/>
  <c r="M35" i="56"/>
  <c r="M34" i="56"/>
  <c r="M33" i="56"/>
  <c r="M32" i="56"/>
  <c r="M5" i="56"/>
  <c r="M6" i="56"/>
  <c r="M7" i="56"/>
  <c r="M9" i="56"/>
  <c r="M10" i="56"/>
  <c r="M11" i="56"/>
  <c r="M12" i="56"/>
  <c r="M13" i="56"/>
  <c r="M14" i="56"/>
  <c r="M15" i="56"/>
  <c r="M16" i="56"/>
  <c r="M17" i="56"/>
  <c r="M4" i="56"/>
  <c r="M63" i="56" l="1"/>
  <c r="I38" i="54" s="1"/>
  <c r="M62" i="56"/>
  <c r="I37" i="54" s="1"/>
  <c r="F115" i="56"/>
  <c r="M60" i="56"/>
  <c r="I39" i="54" s="1"/>
  <c r="I32" i="61"/>
  <c r="K32" i="61" s="1"/>
  <c r="G44" i="61"/>
  <c r="L44" i="61" s="1"/>
  <c r="G10" i="61"/>
  <c r="L10" i="61" s="1"/>
  <c r="I76" i="61"/>
  <c r="K76" i="61" s="1"/>
  <c r="G121" i="61"/>
  <c r="L121" i="61" s="1"/>
  <c r="G104" i="61"/>
  <c r="L104" i="61" s="1"/>
  <c r="G176" i="61"/>
  <c r="L176" i="61" s="1"/>
  <c r="I140" i="61"/>
  <c r="K140" i="61" s="1"/>
  <c r="I115" i="61"/>
  <c r="K115" i="61" s="1"/>
  <c r="G82" i="61"/>
  <c r="L82" i="61" s="1"/>
  <c r="G149" i="61"/>
  <c r="L149" i="61" s="1"/>
  <c r="G59" i="61"/>
  <c r="L59" i="61" s="1"/>
  <c r="G42" i="61"/>
  <c r="L42" i="61" s="1"/>
  <c r="G8" i="61"/>
  <c r="L8" i="61" s="1"/>
  <c r="I78" i="61"/>
  <c r="K78" i="61" s="1"/>
  <c r="G125" i="61"/>
  <c r="L125" i="61" s="1"/>
  <c r="G108" i="61"/>
  <c r="L108" i="61" s="1"/>
  <c r="G178" i="61"/>
  <c r="L178" i="61" s="1"/>
  <c r="G45" i="61"/>
  <c r="L45" i="61" s="1"/>
  <c r="G11" i="61"/>
  <c r="L11" i="61" s="1"/>
  <c r="I75" i="61"/>
  <c r="K75" i="61" s="1"/>
  <c r="I118" i="61"/>
  <c r="K118" i="61" s="1"/>
  <c r="G103" i="61"/>
  <c r="L103" i="61" s="1"/>
  <c r="G175" i="61"/>
  <c r="L175" i="61" s="1"/>
  <c r="G62" i="61"/>
  <c r="L62" i="61" s="1"/>
  <c r="G107" i="61"/>
  <c r="L107" i="61" s="1"/>
  <c r="I64" i="61"/>
  <c r="K64" i="61" s="1"/>
  <c r="I167" i="61"/>
  <c r="K167" i="61" s="1"/>
  <c r="I168" i="61"/>
  <c r="K168" i="61" s="1"/>
  <c r="I44" i="61"/>
  <c r="K44" i="61" s="1"/>
  <c r="M44" i="61" s="1"/>
  <c r="N44" i="61" s="1"/>
  <c r="I68" i="61"/>
  <c r="K68" i="61" s="1"/>
  <c r="I106" i="61"/>
  <c r="K106" i="61" s="1"/>
  <c r="G97" i="61"/>
  <c r="L97" i="61" s="1"/>
  <c r="G169" i="61"/>
  <c r="L169" i="61" s="1"/>
  <c r="I29" i="61"/>
  <c r="K29" i="61" s="1"/>
  <c r="G66" i="61"/>
  <c r="L66" i="61" s="1"/>
  <c r="G111" i="61"/>
  <c r="L111" i="61" s="1"/>
  <c r="I80" i="61"/>
  <c r="K80" i="61" s="1"/>
  <c r="I175" i="61"/>
  <c r="K175" i="61" s="1"/>
  <c r="I176" i="61"/>
  <c r="K176" i="61" s="1"/>
  <c r="G24" i="61"/>
  <c r="L24" i="61" s="1"/>
  <c r="G61" i="61"/>
  <c r="L61" i="61" s="1"/>
  <c r="I104" i="61"/>
  <c r="K104" i="61" s="1"/>
  <c r="I56" i="61"/>
  <c r="K56" i="61" s="1"/>
  <c r="I163" i="61"/>
  <c r="K163" i="61" s="1"/>
  <c r="I164" i="61"/>
  <c r="K164" i="61" s="1"/>
  <c r="G18" i="61"/>
  <c r="L18" i="61" s="1"/>
  <c r="I26" i="61"/>
  <c r="K26" i="61" s="1"/>
  <c r="I146" i="61"/>
  <c r="K146" i="61" s="1"/>
  <c r="G122" i="61"/>
  <c r="L122" i="61" s="1"/>
  <c r="G85" i="61"/>
  <c r="L85" i="61" s="1"/>
  <c r="G152" i="61"/>
  <c r="L152" i="61" s="1"/>
  <c r="I59" i="61"/>
  <c r="K59" i="61" s="1"/>
  <c r="I91" i="61"/>
  <c r="K91" i="61" s="1"/>
  <c r="I147" i="61"/>
  <c r="K147" i="61" s="1"/>
  <c r="I129" i="61"/>
  <c r="K129" i="61" s="1"/>
  <c r="G21" i="61"/>
  <c r="L21" i="61" s="1"/>
  <c r="G31" i="61"/>
  <c r="L31" i="61" s="1"/>
  <c r="I24" i="61"/>
  <c r="K24" i="61" s="1"/>
  <c r="I150" i="61"/>
  <c r="K150" i="61" s="1"/>
  <c r="G126" i="61"/>
  <c r="L126" i="61" s="1"/>
  <c r="G87" i="61"/>
  <c r="L87" i="61" s="1"/>
  <c r="G154" i="61"/>
  <c r="L154" i="61" s="1"/>
  <c r="G19" i="61"/>
  <c r="L19" i="61" s="1"/>
  <c r="I27" i="61"/>
  <c r="K27" i="61" s="1"/>
  <c r="I144" i="61"/>
  <c r="K144" i="61" s="1"/>
  <c r="I119" i="61"/>
  <c r="K119" i="61" s="1"/>
  <c r="G84" i="61"/>
  <c r="L84" i="61" s="1"/>
  <c r="G151" i="61"/>
  <c r="L151" i="61" s="1"/>
  <c r="G37" i="61"/>
  <c r="L37" i="61" s="1"/>
  <c r="G6" i="61"/>
  <c r="I71" i="61"/>
  <c r="K71" i="61" s="1"/>
  <c r="G113" i="61"/>
  <c r="L113" i="61" s="1"/>
  <c r="G100" i="61"/>
  <c r="L100" i="61" s="1"/>
  <c r="G172" i="61"/>
  <c r="L172" i="61" s="1"/>
  <c r="I132" i="61"/>
  <c r="K132" i="61" s="1"/>
  <c r="I107" i="61"/>
  <c r="K107" i="61" s="1"/>
  <c r="G77" i="61"/>
  <c r="L77" i="61" s="1"/>
  <c r="G145" i="61"/>
  <c r="L145" i="61" s="1"/>
  <c r="G50" i="61"/>
  <c r="L50" i="61" s="1"/>
  <c r="G46" i="61"/>
  <c r="L46" i="61" s="1"/>
  <c r="G12" i="61"/>
  <c r="L12" i="61" s="1"/>
  <c r="I74" i="61"/>
  <c r="K74" i="61" s="1"/>
  <c r="G117" i="61"/>
  <c r="L117" i="61" s="1"/>
  <c r="G102" i="61"/>
  <c r="L102" i="61" s="1"/>
  <c r="G174" i="61"/>
  <c r="L174" i="61" s="1"/>
  <c r="G38" i="61"/>
  <c r="L38" i="61" s="1"/>
  <c r="I42" i="61"/>
  <c r="K42" i="61" s="1"/>
  <c r="I70" i="61"/>
  <c r="K70" i="61" s="1"/>
  <c r="I110" i="61"/>
  <c r="K110" i="61" s="1"/>
  <c r="G99" i="61"/>
  <c r="L99" i="61" s="1"/>
  <c r="G171" i="61"/>
  <c r="L171" i="61" s="1"/>
  <c r="F22" i="56"/>
  <c r="F78" i="56"/>
  <c r="F20" i="56"/>
  <c r="F50" i="56"/>
  <c r="F46" i="56"/>
  <c r="F47" i="56"/>
  <c r="F55" i="56"/>
  <c r="F77" i="56"/>
  <c r="F85" i="56"/>
  <c r="F29" i="56"/>
  <c r="F136" i="56"/>
  <c r="F158" i="56"/>
  <c r="F166" i="56"/>
  <c r="F104" i="56"/>
  <c r="F112" i="56"/>
  <c r="F27" i="56"/>
  <c r="F133" i="56"/>
  <c r="F141" i="56"/>
  <c r="F163" i="56"/>
  <c r="F171" i="56"/>
  <c r="F109" i="56"/>
  <c r="I62" i="61"/>
  <c r="K62" i="61" s="1"/>
  <c r="I153" i="61"/>
  <c r="K153" i="61" s="1"/>
  <c r="G136" i="61"/>
  <c r="L136" i="61" s="1"/>
  <c r="I37" i="61"/>
  <c r="K37" i="61" s="1"/>
  <c r="I63" i="61"/>
  <c r="K63" i="61" s="1"/>
  <c r="I178" i="61"/>
  <c r="K178" i="61" s="1"/>
  <c r="G72" i="61"/>
  <c r="L72" i="61" s="1"/>
  <c r="G165" i="61"/>
  <c r="L165" i="61" s="1"/>
  <c r="I18" i="61"/>
  <c r="K18" i="61" s="1"/>
  <c r="G60" i="61"/>
  <c r="L60" i="61" s="1"/>
  <c r="G67" i="61"/>
  <c r="L67" i="61" s="1"/>
  <c r="I48" i="61"/>
  <c r="K48" i="61" s="1"/>
  <c r="I159" i="61"/>
  <c r="K159" i="61" s="1"/>
  <c r="I160" i="61"/>
  <c r="K160" i="61" s="1"/>
  <c r="G17" i="61"/>
  <c r="L17" i="61" s="1"/>
  <c r="G57" i="61"/>
  <c r="L57" i="61" s="1"/>
  <c r="I61" i="61"/>
  <c r="K61" i="61" s="1"/>
  <c r="M61" i="61" s="1"/>
  <c r="N61" i="61" s="1"/>
  <c r="I93" i="61"/>
  <c r="K93" i="61" s="1"/>
  <c r="I151" i="61"/>
  <c r="K151" i="61" s="1"/>
  <c r="I133" i="61"/>
  <c r="K133" i="61" s="1"/>
  <c r="G22" i="61"/>
  <c r="L22" i="61" s="1"/>
  <c r="I30" i="61"/>
  <c r="K30" i="61" s="1"/>
  <c r="I138" i="61"/>
  <c r="K138" i="61" s="1"/>
  <c r="G114" i="61"/>
  <c r="L114" i="61" s="1"/>
  <c r="G81" i="61"/>
  <c r="L81" i="61" s="1"/>
  <c r="G148" i="61"/>
  <c r="L148" i="61" s="1"/>
  <c r="I54" i="61"/>
  <c r="K54" i="61" s="1"/>
  <c r="I86" i="61"/>
  <c r="K86" i="61" s="1"/>
  <c r="I139" i="61"/>
  <c r="K139" i="61" s="1"/>
  <c r="I121" i="61"/>
  <c r="K121" i="61" s="1"/>
  <c r="G185" i="61"/>
  <c r="L185" i="61" s="1"/>
  <c r="G20" i="61"/>
  <c r="L20" i="61" s="1"/>
  <c r="I28" i="61"/>
  <c r="K28" i="61" s="1"/>
  <c r="I142" i="61"/>
  <c r="K142" i="61" s="1"/>
  <c r="G118" i="61"/>
  <c r="L118" i="61" s="1"/>
  <c r="G83" i="61"/>
  <c r="L83" i="61" s="1"/>
  <c r="G150" i="61"/>
  <c r="L150" i="61" s="1"/>
  <c r="G16" i="61"/>
  <c r="L16" i="61" s="1"/>
  <c r="I31" i="61"/>
  <c r="K31" i="61" s="1"/>
  <c r="I136" i="61"/>
  <c r="K136" i="61" s="1"/>
  <c r="I111" i="61"/>
  <c r="K111" i="61" s="1"/>
  <c r="G79" i="61"/>
  <c r="L79" i="61" s="1"/>
  <c r="G147" i="61"/>
  <c r="L147" i="61" s="1"/>
  <c r="G41" i="61"/>
  <c r="L41" i="61" s="1"/>
  <c r="I45" i="61"/>
  <c r="K45" i="61" s="1"/>
  <c r="I67" i="61"/>
  <c r="K67" i="61" s="1"/>
  <c r="G105" i="61"/>
  <c r="L105" i="61" s="1"/>
  <c r="G96" i="61"/>
  <c r="L96" i="61" s="1"/>
  <c r="G168" i="61"/>
  <c r="L168" i="61" s="1"/>
  <c r="I124" i="61"/>
  <c r="K124" i="61" s="1"/>
  <c r="I101" i="61"/>
  <c r="K101" i="61" s="1"/>
  <c r="G73" i="61"/>
  <c r="L73" i="61" s="1"/>
  <c r="G141" i="61"/>
  <c r="L141" i="61" s="1"/>
  <c r="G43" i="61"/>
  <c r="L43" i="61" s="1"/>
  <c r="G39" i="61"/>
  <c r="L39" i="61" s="1"/>
  <c r="I43" i="61"/>
  <c r="K43" i="61" s="1"/>
  <c r="I69" i="61"/>
  <c r="K69" i="61" s="1"/>
  <c r="G109" i="61"/>
  <c r="L109" i="61" s="1"/>
  <c r="G98" i="61"/>
  <c r="L98" i="61" s="1"/>
  <c r="G170" i="61"/>
  <c r="L170" i="61" s="1"/>
  <c r="G32" i="61"/>
  <c r="L32" i="61" s="1"/>
  <c r="I46" i="61"/>
  <c r="K46" i="61" s="1"/>
  <c r="I66" i="61"/>
  <c r="K66" i="61" s="1"/>
  <c r="M66" i="61" s="1"/>
  <c r="N66" i="61" s="1"/>
  <c r="I186" i="61"/>
  <c r="K186" i="61" s="1"/>
  <c r="G88" i="61"/>
  <c r="L88" i="61" s="1"/>
  <c r="G167" i="61"/>
  <c r="L167" i="61" s="1"/>
  <c r="G53" i="61"/>
  <c r="L53" i="61" s="1"/>
  <c r="I58" i="61"/>
  <c r="K58" i="61" s="1"/>
  <c r="I90" i="61"/>
  <c r="K90" i="61" s="1"/>
  <c r="I145" i="61"/>
  <c r="K145" i="61" s="1"/>
  <c r="G128" i="61"/>
  <c r="L128" i="61" s="1"/>
  <c r="I41" i="61"/>
  <c r="K41" i="61" s="1"/>
  <c r="M41" i="61" s="1"/>
  <c r="N41" i="61" s="1"/>
  <c r="I173" i="61"/>
  <c r="K173" i="61" s="1"/>
  <c r="I162" i="61"/>
  <c r="K162" i="61" s="1"/>
  <c r="G95" i="61"/>
  <c r="L95" i="61" s="1"/>
  <c r="G161" i="61"/>
  <c r="L161" i="61" s="1"/>
  <c r="I22" i="61"/>
  <c r="K22" i="61" s="1"/>
  <c r="M22" i="61" s="1"/>
  <c r="N22" i="61" s="1"/>
  <c r="G55" i="61"/>
  <c r="L55" i="61" s="1"/>
  <c r="I60" i="61"/>
  <c r="K60" i="61" s="1"/>
  <c r="I92" i="61"/>
  <c r="K92" i="61" s="1"/>
  <c r="I149" i="61"/>
  <c r="K149" i="61" s="1"/>
  <c r="M149" i="61" s="1"/>
  <c r="N149" i="61" s="1"/>
  <c r="G132" i="61"/>
  <c r="L132" i="61" s="1"/>
  <c r="G14" i="61"/>
  <c r="L14" i="61" s="1"/>
  <c r="G52" i="61"/>
  <c r="L52" i="61" s="1"/>
  <c r="I57" i="61"/>
  <c r="K57" i="61" s="1"/>
  <c r="I89" i="61"/>
  <c r="K89" i="61" s="1"/>
  <c r="I143" i="61"/>
  <c r="K143" i="61" s="1"/>
  <c r="I125" i="61"/>
  <c r="K125" i="61" s="1"/>
  <c r="G187" i="61"/>
  <c r="L187" i="61" s="1"/>
  <c r="F26" i="56"/>
  <c r="F86" i="56"/>
  <c r="F24" i="56"/>
  <c r="F52" i="56"/>
  <c r="F54" i="56"/>
  <c r="F49" i="56"/>
  <c r="F57" i="56"/>
  <c r="F79" i="56"/>
  <c r="F87" i="56"/>
  <c r="F130" i="56"/>
  <c r="F138" i="56"/>
  <c r="F160" i="56"/>
  <c r="F168" i="56"/>
  <c r="F106" i="56"/>
  <c r="F114" i="56"/>
  <c r="F31" i="56"/>
  <c r="F135" i="56"/>
  <c r="F143" i="56"/>
  <c r="F165" i="56"/>
  <c r="F103" i="56"/>
  <c r="F111" i="56"/>
  <c r="G58" i="61"/>
  <c r="L58" i="61" s="1"/>
  <c r="I94" i="61"/>
  <c r="K94" i="61" s="1"/>
  <c r="G15" i="61"/>
  <c r="L15" i="61" s="1"/>
  <c r="I19" i="61"/>
  <c r="K19" i="61" s="1"/>
  <c r="G131" i="61"/>
  <c r="L131" i="61" s="1"/>
  <c r="G106" i="61"/>
  <c r="L106" i="61" s="1"/>
  <c r="G76" i="61"/>
  <c r="L76" i="61" s="1"/>
  <c r="G144" i="61"/>
  <c r="L144" i="61" s="1"/>
  <c r="I50" i="61"/>
  <c r="K50" i="61" s="1"/>
  <c r="I82" i="61"/>
  <c r="K82" i="61" s="1"/>
  <c r="I130" i="61"/>
  <c r="K130" i="61" s="1"/>
  <c r="I113" i="61"/>
  <c r="K113" i="61" s="1"/>
  <c r="G181" i="61"/>
  <c r="L181" i="61" s="1"/>
  <c r="G13" i="61"/>
  <c r="L13" i="61" s="1"/>
  <c r="I17" i="61"/>
  <c r="K17" i="61" s="1"/>
  <c r="G135" i="61"/>
  <c r="L135" i="61" s="1"/>
  <c r="G110" i="61"/>
  <c r="L110" i="61" s="1"/>
  <c r="G78" i="61"/>
  <c r="L78" i="61" s="1"/>
  <c r="G146" i="61"/>
  <c r="L146" i="61" s="1"/>
  <c r="G54" i="61"/>
  <c r="L54" i="61" s="1"/>
  <c r="I20" i="61"/>
  <c r="K20" i="61" s="1"/>
  <c r="I128" i="61"/>
  <c r="K128" i="61" s="1"/>
  <c r="I103" i="61"/>
  <c r="K103" i="61" s="1"/>
  <c r="M103" i="61" s="1"/>
  <c r="N103" i="61" s="1"/>
  <c r="G75" i="61"/>
  <c r="L75" i="61" s="1"/>
  <c r="G143" i="61"/>
  <c r="L143" i="61" s="1"/>
  <c r="G35" i="61"/>
  <c r="L35" i="61" s="1"/>
  <c r="I38" i="61"/>
  <c r="K38" i="61" s="1"/>
  <c r="I185" i="61"/>
  <c r="K185" i="61" s="1"/>
  <c r="I174" i="61"/>
  <c r="K174" i="61" s="1"/>
  <c r="G64" i="61"/>
  <c r="L64" i="61" s="1"/>
  <c r="G164" i="61"/>
  <c r="L164" i="61" s="1"/>
  <c r="I116" i="61"/>
  <c r="K116" i="61" s="1"/>
  <c r="I97" i="61"/>
  <c r="K97" i="61" s="1"/>
  <c r="I187" i="61"/>
  <c r="K187" i="61" s="1"/>
  <c r="G137" i="61"/>
  <c r="L137" i="61" s="1"/>
  <c r="G47" i="61"/>
  <c r="L47" i="61" s="1"/>
  <c r="G33" i="61"/>
  <c r="L33" i="61" s="1"/>
  <c r="I47" i="61"/>
  <c r="K47" i="61" s="1"/>
  <c r="I65" i="61"/>
  <c r="K65" i="61" s="1"/>
  <c r="I182" i="61"/>
  <c r="K182" i="61" s="1"/>
  <c r="G80" i="61"/>
  <c r="L80" i="61" s="1"/>
  <c r="G166" i="61"/>
  <c r="L166" i="61" s="1"/>
  <c r="G36" i="61"/>
  <c r="L36" i="61" s="1"/>
  <c r="I39" i="61"/>
  <c r="K39" i="61" s="1"/>
  <c r="I181" i="61"/>
  <c r="K181" i="61" s="1"/>
  <c r="I170" i="61"/>
  <c r="K170" i="61" s="1"/>
  <c r="M170" i="61" s="1"/>
  <c r="N170" i="61" s="1"/>
  <c r="G56" i="61"/>
  <c r="L56" i="61" s="1"/>
  <c r="G163" i="61"/>
  <c r="L163" i="61" s="1"/>
  <c r="G49" i="61"/>
  <c r="L49" i="61" s="1"/>
  <c r="I53" i="61"/>
  <c r="K53" i="61" s="1"/>
  <c r="I85" i="61"/>
  <c r="K85" i="61" s="1"/>
  <c r="M85" i="61" s="1"/>
  <c r="N85" i="61" s="1"/>
  <c r="I137" i="61"/>
  <c r="K137" i="61" s="1"/>
  <c r="G120" i="61"/>
  <c r="L120" i="61" s="1"/>
  <c r="G184" i="61"/>
  <c r="L184" i="61" s="1"/>
  <c r="I157" i="61"/>
  <c r="K157" i="61" s="1"/>
  <c r="I131" i="61"/>
  <c r="K131" i="61" s="1"/>
  <c r="G91" i="61"/>
  <c r="L91" i="61" s="1"/>
  <c r="G157" i="61"/>
  <c r="L157" i="61" s="1"/>
  <c r="I15" i="61"/>
  <c r="K15" i="61" s="1"/>
  <c r="M15" i="61" s="1"/>
  <c r="N15" i="61" s="1"/>
  <c r="G51" i="61"/>
  <c r="L51" i="61" s="1"/>
  <c r="I55" i="61"/>
  <c r="K55" i="61" s="1"/>
  <c r="I87" i="61"/>
  <c r="K87" i="61" s="1"/>
  <c r="I141" i="61"/>
  <c r="K141" i="61" s="1"/>
  <c r="M141" i="61" s="1"/>
  <c r="N141" i="61" s="1"/>
  <c r="G124" i="61"/>
  <c r="L124" i="61" s="1"/>
  <c r="M124" i="61" s="1"/>
  <c r="N124" i="61" s="1"/>
  <c r="G186" i="61"/>
  <c r="L186" i="61" s="1"/>
  <c r="I7" i="61"/>
  <c r="K7" i="61" s="1"/>
  <c r="I52" i="61"/>
  <c r="K52" i="61" s="1"/>
  <c r="I84" i="61"/>
  <c r="K84" i="61" s="1"/>
  <c r="I134" i="61"/>
  <c r="K134" i="61" s="1"/>
  <c r="I117" i="61"/>
  <c r="K117" i="61" s="1"/>
  <c r="G183" i="61"/>
  <c r="L183" i="61" s="1"/>
  <c r="I16" i="61"/>
  <c r="K16" i="61" s="1"/>
  <c r="M16" i="61" s="1"/>
  <c r="N16" i="61" s="1"/>
  <c r="G123" i="61"/>
  <c r="L123" i="61" s="1"/>
  <c r="I100" i="61"/>
  <c r="K100" i="61" s="1"/>
  <c r="G71" i="61"/>
  <c r="L71" i="61" s="1"/>
  <c r="G140" i="61"/>
  <c r="L140" i="61" s="1"/>
  <c r="G9" i="61"/>
  <c r="L9" i="61" s="1"/>
  <c r="I77" i="61"/>
  <c r="K77" i="61" s="1"/>
  <c r="I122" i="61"/>
  <c r="K122" i="61" s="1"/>
  <c r="M122" i="61" s="1"/>
  <c r="N122" i="61" s="1"/>
  <c r="I105" i="61"/>
  <c r="K105" i="61" s="1"/>
  <c r="G177" i="61"/>
  <c r="L177" i="61" s="1"/>
  <c r="I35" i="61"/>
  <c r="K35" i="61" s="1"/>
  <c r="M35" i="61" s="1"/>
  <c r="N35" i="61" s="1"/>
  <c r="I21" i="61"/>
  <c r="K21" i="61" s="1"/>
  <c r="G127" i="61"/>
  <c r="L127" i="61" s="1"/>
  <c r="I102" i="61"/>
  <c r="K102" i="61" s="1"/>
  <c r="G74" i="61"/>
  <c r="L74" i="61" s="1"/>
  <c r="G142" i="61"/>
  <c r="L142" i="61" s="1"/>
  <c r="I9" i="61"/>
  <c r="K9" i="61" s="1"/>
  <c r="I13" i="61"/>
  <c r="K13" i="61" s="1"/>
  <c r="I120" i="61"/>
  <c r="K120" i="61" s="1"/>
  <c r="I99" i="61"/>
  <c r="K99" i="61" s="1"/>
  <c r="M99" i="61" s="1"/>
  <c r="N99" i="61" s="1"/>
  <c r="G70" i="61"/>
  <c r="L70" i="61" s="1"/>
  <c r="G139" i="61"/>
  <c r="L139" i="61" s="1"/>
  <c r="F8" i="56"/>
  <c r="F30" i="56"/>
  <c r="F58" i="56"/>
  <c r="F28" i="56"/>
  <c r="F74" i="56"/>
  <c r="F76" i="56"/>
  <c r="F51" i="56"/>
  <c r="F59" i="56"/>
  <c r="F81" i="56"/>
  <c r="F21" i="56"/>
  <c r="F132" i="56"/>
  <c r="F140" i="56"/>
  <c r="F162" i="56"/>
  <c r="F170" i="56"/>
  <c r="F108" i="56"/>
  <c r="F19" i="56"/>
  <c r="F157" i="56"/>
  <c r="F137" i="56"/>
  <c r="F159" i="56"/>
  <c r="F167" i="56"/>
  <c r="F105" i="56"/>
  <c r="F113" i="56"/>
  <c r="G25" i="61"/>
  <c r="L25" i="61" s="1"/>
  <c r="I169" i="61"/>
  <c r="K169" i="61" s="1"/>
  <c r="I158" i="61"/>
  <c r="K158" i="61" s="1"/>
  <c r="G94" i="61"/>
  <c r="L94" i="61" s="1"/>
  <c r="G160" i="61"/>
  <c r="L160" i="61" s="1"/>
  <c r="M160" i="61" s="1"/>
  <c r="N160" i="61" s="1"/>
  <c r="I108" i="61"/>
  <c r="K108" i="61" s="1"/>
  <c r="I72" i="61"/>
  <c r="K72" i="61" s="1"/>
  <c r="I171" i="61"/>
  <c r="K171" i="61" s="1"/>
  <c r="I172" i="61"/>
  <c r="K172" i="61" s="1"/>
  <c r="M172" i="61" s="1"/>
  <c r="N172" i="61" s="1"/>
  <c r="G34" i="61"/>
  <c r="L34" i="61" s="1"/>
  <c r="G23" i="61"/>
  <c r="L23" i="61" s="1"/>
  <c r="I40" i="61"/>
  <c r="K40" i="61" s="1"/>
  <c r="I177" i="61"/>
  <c r="K177" i="61" s="1"/>
  <c r="I166" i="61"/>
  <c r="K166" i="61" s="1"/>
  <c r="G48" i="61"/>
  <c r="L48" i="61" s="1"/>
  <c r="G162" i="61"/>
  <c r="L162" i="61" s="1"/>
  <c r="G26" i="61"/>
  <c r="L26" i="61" s="1"/>
  <c r="I33" i="61"/>
  <c r="K33" i="61" s="1"/>
  <c r="M33" i="61" s="1"/>
  <c r="N33" i="61" s="1"/>
  <c r="I165" i="61"/>
  <c r="K165" i="61" s="1"/>
  <c r="M165" i="61" s="1"/>
  <c r="N165" i="61" s="1"/>
  <c r="I135" i="61"/>
  <c r="K135" i="61" s="1"/>
  <c r="G93" i="61"/>
  <c r="L93" i="61" s="1"/>
  <c r="M93" i="61" s="1"/>
  <c r="N93" i="61" s="1"/>
  <c r="G159" i="61"/>
  <c r="L159" i="61" s="1"/>
  <c r="I10" i="61"/>
  <c r="K10" i="61" s="1"/>
  <c r="M10" i="61" s="1"/>
  <c r="N10" i="61" s="1"/>
  <c r="I49" i="61"/>
  <c r="K49" i="61" s="1"/>
  <c r="I81" i="61"/>
  <c r="K81" i="61" s="1"/>
  <c r="G129" i="61"/>
  <c r="L129" i="61" s="1"/>
  <c r="G112" i="61"/>
  <c r="L112" i="61" s="1"/>
  <c r="G180" i="61"/>
  <c r="L180" i="61" s="1"/>
  <c r="I148" i="61"/>
  <c r="K148" i="61" s="1"/>
  <c r="M148" i="61" s="1"/>
  <c r="N148" i="61" s="1"/>
  <c r="I123" i="61"/>
  <c r="K123" i="61" s="1"/>
  <c r="M123" i="61" s="1"/>
  <c r="N123" i="61" s="1"/>
  <c r="G86" i="61"/>
  <c r="L86" i="61" s="1"/>
  <c r="G153" i="61"/>
  <c r="L153" i="61" s="1"/>
  <c r="G63" i="61"/>
  <c r="L63" i="61" s="1"/>
  <c r="I8" i="61"/>
  <c r="K8" i="61" s="1"/>
  <c r="I51" i="61"/>
  <c r="K51" i="61" s="1"/>
  <c r="I83" i="61"/>
  <c r="K83" i="61" s="1"/>
  <c r="G133" i="61"/>
  <c r="L133" i="61" s="1"/>
  <c r="G116" i="61"/>
  <c r="L116" i="61" s="1"/>
  <c r="G182" i="61"/>
  <c r="L182" i="61" s="1"/>
  <c r="I11" i="61"/>
  <c r="K11" i="61" s="1"/>
  <c r="G7" i="61"/>
  <c r="L7" i="61" s="1"/>
  <c r="I79" i="61"/>
  <c r="K79" i="61" s="1"/>
  <c r="I126" i="61"/>
  <c r="K126" i="61" s="1"/>
  <c r="I109" i="61"/>
  <c r="K109" i="61" s="1"/>
  <c r="G179" i="61"/>
  <c r="L179" i="61" s="1"/>
  <c r="I12" i="61"/>
  <c r="K12" i="61" s="1"/>
  <c r="G115" i="61"/>
  <c r="L115" i="61" s="1"/>
  <c r="I96" i="61"/>
  <c r="K96" i="61" s="1"/>
  <c r="I183" i="61"/>
  <c r="K183" i="61" s="1"/>
  <c r="I184" i="61"/>
  <c r="K184" i="61" s="1"/>
  <c r="I6" i="61"/>
  <c r="I73" i="61"/>
  <c r="K73" i="61" s="1"/>
  <c r="I114" i="61"/>
  <c r="K114" i="61" s="1"/>
  <c r="G101" i="61"/>
  <c r="L101" i="61" s="1"/>
  <c r="G173" i="61"/>
  <c r="L173" i="61" s="1"/>
  <c r="I25" i="61"/>
  <c r="K25" i="61" s="1"/>
  <c r="I14" i="61"/>
  <c r="K14" i="61" s="1"/>
  <c r="G119" i="61"/>
  <c r="L119" i="61" s="1"/>
  <c r="I98" i="61"/>
  <c r="K98" i="61" s="1"/>
  <c r="G69" i="61"/>
  <c r="L69" i="61" s="1"/>
  <c r="G138" i="61"/>
  <c r="L138" i="61" s="1"/>
  <c r="G40" i="61"/>
  <c r="L40" i="61" s="1"/>
  <c r="G68" i="61"/>
  <c r="L68" i="61" s="1"/>
  <c r="I112" i="61"/>
  <c r="K112" i="61" s="1"/>
  <c r="I88" i="61"/>
  <c r="K88" i="61" s="1"/>
  <c r="I179" i="61"/>
  <c r="K179" i="61" s="1"/>
  <c r="I180" i="61"/>
  <c r="K180" i="61" s="1"/>
  <c r="G29" i="61"/>
  <c r="L29" i="61" s="1"/>
  <c r="I36" i="61"/>
  <c r="K36" i="61" s="1"/>
  <c r="I154" i="61"/>
  <c r="K154" i="61" s="1"/>
  <c r="M154" i="61" s="1"/>
  <c r="N154" i="61" s="1"/>
  <c r="G130" i="61"/>
  <c r="L130" i="61" s="1"/>
  <c r="G90" i="61"/>
  <c r="L90" i="61" s="1"/>
  <c r="G156" i="61"/>
  <c r="L156" i="61" s="1"/>
  <c r="G65" i="61"/>
  <c r="L65" i="61" s="1"/>
  <c r="I95" i="61"/>
  <c r="K95" i="61" s="1"/>
  <c r="I155" i="61"/>
  <c r="K155" i="61" s="1"/>
  <c r="I156" i="61"/>
  <c r="K156" i="61" s="1"/>
  <c r="G28" i="61"/>
  <c r="L28" i="61" s="1"/>
  <c r="G27" i="61"/>
  <c r="L27" i="61" s="1"/>
  <c r="I34" i="61"/>
  <c r="K34" i="61" s="1"/>
  <c r="I161" i="61"/>
  <c r="K161" i="61" s="1"/>
  <c r="G134" i="61"/>
  <c r="L134" i="61" s="1"/>
  <c r="G92" i="61"/>
  <c r="L92" i="61" s="1"/>
  <c r="G158" i="61"/>
  <c r="L158" i="61" s="1"/>
  <c r="G30" i="61"/>
  <c r="L30" i="61" s="1"/>
  <c r="M30" i="61" s="1"/>
  <c r="N30" i="61" s="1"/>
  <c r="I23" i="61"/>
  <c r="K23" i="61" s="1"/>
  <c r="I152" i="61"/>
  <c r="K152" i="61" s="1"/>
  <c r="I127" i="61"/>
  <c r="K127" i="61" s="1"/>
  <c r="G89" i="61"/>
  <c r="L89" i="61" s="1"/>
  <c r="G155" i="61"/>
  <c r="L155" i="61" s="1"/>
  <c r="F18" i="56"/>
  <c r="F56" i="56"/>
  <c r="F80" i="56"/>
  <c r="F48" i="56"/>
  <c r="F82" i="56"/>
  <c r="F84" i="56"/>
  <c r="F53" i="56"/>
  <c r="F75" i="56"/>
  <c r="F83" i="56"/>
  <c r="F25" i="56"/>
  <c r="F134" i="56"/>
  <c r="F142" i="56"/>
  <c r="F164" i="56"/>
  <c r="F102" i="56"/>
  <c r="F110" i="56"/>
  <c r="F23" i="56"/>
  <c r="F131" i="56"/>
  <c r="F139" i="56"/>
  <c r="F161" i="56"/>
  <c r="F169" i="56"/>
  <c r="F107" i="56"/>
  <c r="F62" i="56"/>
  <c r="F68" i="56"/>
  <c r="F63" i="56"/>
  <c r="M61" i="56"/>
  <c r="I40" i="54" s="1"/>
  <c r="F89" i="56"/>
  <c r="F155" i="56"/>
  <c r="F151" i="56"/>
  <c r="F147" i="56"/>
  <c r="F129" i="56"/>
  <c r="F125" i="56"/>
  <c r="F117" i="56"/>
  <c r="F95" i="56"/>
  <c r="F69" i="56"/>
  <c r="F124" i="56"/>
  <c r="F116" i="56"/>
  <c r="F66" i="56"/>
  <c r="F70" i="56"/>
  <c r="F60" i="56"/>
  <c r="F91" i="56"/>
  <c r="F153" i="56"/>
  <c r="F149" i="56"/>
  <c r="F145" i="56"/>
  <c r="F127" i="56"/>
  <c r="F123" i="56"/>
  <c r="F119" i="56"/>
  <c r="F101" i="56"/>
  <c r="F97" i="56"/>
  <c r="F93" i="56"/>
  <c r="F67" i="56"/>
  <c r="F71" i="56"/>
  <c r="F90" i="56"/>
  <c r="F156" i="56"/>
  <c r="F152" i="56"/>
  <c r="F148" i="56"/>
  <c r="F144" i="56"/>
  <c r="F126" i="56"/>
  <c r="F122" i="56"/>
  <c r="F118" i="56"/>
  <c r="F100" i="56"/>
  <c r="F96" i="56"/>
  <c r="F92" i="56"/>
  <c r="F64" i="56"/>
  <c r="F72" i="56"/>
  <c r="F121" i="56"/>
  <c r="F99" i="56"/>
  <c r="F61" i="56"/>
  <c r="F65" i="56"/>
  <c r="F73" i="56"/>
  <c r="F88" i="56"/>
  <c r="F154" i="56"/>
  <c r="F150" i="56"/>
  <c r="F146" i="56"/>
  <c r="F128" i="56"/>
  <c r="F120" i="56"/>
  <c r="F98" i="56"/>
  <c r="F94" i="56"/>
  <c r="F33" i="56"/>
  <c r="F37" i="56"/>
  <c r="F41" i="56"/>
  <c r="F45" i="56"/>
  <c r="F7" i="56"/>
  <c r="F11" i="56"/>
  <c r="F15" i="56"/>
  <c r="F40" i="56"/>
  <c r="F14" i="56"/>
  <c r="F4" i="56"/>
  <c r="F34" i="56"/>
  <c r="F38" i="56"/>
  <c r="F42" i="56"/>
  <c r="F32" i="56"/>
  <c r="F12" i="56"/>
  <c r="F16" i="56"/>
  <c r="F44" i="56"/>
  <c r="F10" i="56"/>
  <c r="F35" i="56"/>
  <c r="F39" i="56"/>
  <c r="F43" i="56"/>
  <c r="F5" i="56"/>
  <c r="F9" i="56"/>
  <c r="F13" i="56"/>
  <c r="F17" i="56"/>
  <c r="F36" i="56"/>
  <c r="F6" i="56"/>
  <c r="M21" i="61" l="1"/>
  <c r="N21" i="61" s="1"/>
  <c r="M38" i="61"/>
  <c r="N38" i="61" s="1"/>
  <c r="M45" i="61"/>
  <c r="N45" i="61" s="1"/>
  <c r="M74" i="61"/>
  <c r="N74" i="61" s="1"/>
  <c r="M78" i="61"/>
  <c r="N78" i="61" s="1"/>
  <c r="M18" i="61"/>
  <c r="N18" i="61" s="1"/>
  <c r="M152" i="61"/>
  <c r="N152" i="61" s="1"/>
  <c r="M171" i="61"/>
  <c r="N171" i="61" s="1"/>
  <c r="M71" i="61"/>
  <c r="N71" i="61" s="1"/>
  <c r="M76" i="61"/>
  <c r="N76" i="61" s="1"/>
  <c r="M98" i="61"/>
  <c r="N98" i="61" s="1"/>
  <c r="M117" i="61"/>
  <c r="N117" i="61" s="1"/>
  <c r="M53" i="61"/>
  <c r="N53" i="61" s="1"/>
  <c r="M125" i="61"/>
  <c r="N125" i="61" s="1"/>
  <c r="M60" i="61"/>
  <c r="N60" i="61" s="1"/>
  <c r="M34" i="61"/>
  <c r="N34" i="61" s="1"/>
  <c r="M59" i="61"/>
  <c r="N59" i="61" s="1"/>
  <c r="M62" i="61"/>
  <c r="N62" i="61" s="1"/>
  <c r="M173" i="61"/>
  <c r="N173" i="61" s="1"/>
  <c r="M100" i="61"/>
  <c r="N100" i="61" s="1"/>
  <c r="M82" i="61"/>
  <c r="N82" i="61" s="1"/>
  <c r="M37" i="61"/>
  <c r="N37" i="61" s="1"/>
  <c r="M107" i="61"/>
  <c r="N107" i="61" s="1"/>
  <c r="M28" i="61"/>
  <c r="N28" i="61" s="1"/>
  <c r="M12" i="61"/>
  <c r="N12" i="61" s="1"/>
  <c r="M8" i="61"/>
  <c r="N8" i="61" s="1"/>
  <c r="M108" i="61"/>
  <c r="N108" i="61" s="1"/>
  <c r="M102" i="61"/>
  <c r="N102" i="61" s="1"/>
  <c r="M80" i="61"/>
  <c r="N80" i="61" s="1"/>
  <c r="M97" i="61"/>
  <c r="N97" i="61" s="1"/>
  <c r="M174" i="61"/>
  <c r="N174" i="61" s="1"/>
  <c r="M31" i="61"/>
  <c r="N31" i="61" s="1"/>
  <c r="M151" i="61"/>
  <c r="N151" i="61" s="1"/>
  <c r="M42" i="61"/>
  <c r="N42" i="61" s="1"/>
  <c r="M36" i="61"/>
  <c r="N36" i="61" s="1"/>
  <c r="M114" i="61"/>
  <c r="N114" i="61" s="1"/>
  <c r="M81" i="61"/>
  <c r="N81" i="61" s="1"/>
  <c r="M26" i="61"/>
  <c r="N26" i="61" s="1"/>
  <c r="M70" i="61"/>
  <c r="N70" i="61" s="1"/>
  <c r="M105" i="61"/>
  <c r="N105" i="61" s="1"/>
  <c r="M140" i="61"/>
  <c r="N140" i="61" s="1"/>
  <c r="M84" i="61"/>
  <c r="N84" i="61" s="1"/>
  <c r="M39" i="61"/>
  <c r="N39" i="61" s="1"/>
  <c r="M75" i="61"/>
  <c r="N75" i="61" s="1"/>
  <c r="M113" i="61"/>
  <c r="N113" i="61" s="1"/>
  <c r="M19" i="61"/>
  <c r="N19" i="61" s="1"/>
  <c r="M46" i="61"/>
  <c r="N46" i="61" s="1"/>
  <c r="M121" i="61"/>
  <c r="N121" i="61" s="1"/>
  <c r="M104" i="61"/>
  <c r="N104" i="61" s="1"/>
  <c r="M187" i="61"/>
  <c r="N187" i="61" s="1"/>
  <c r="M176" i="61"/>
  <c r="N176" i="61" s="1"/>
  <c r="M183" i="61"/>
  <c r="N183" i="61" s="1"/>
  <c r="M131" i="61"/>
  <c r="N131" i="61" s="1"/>
  <c r="M136" i="61"/>
  <c r="N136" i="61" s="1"/>
  <c r="M184" i="61"/>
  <c r="N184" i="61" s="1"/>
  <c r="M166" i="61"/>
  <c r="N166" i="61" s="1"/>
  <c r="M20" i="61"/>
  <c r="N20" i="61" s="1"/>
  <c r="M161" i="61"/>
  <c r="N161" i="61" s="1"/>
  <c r="M133" i="61"/>
  <c r="N133" i="61" s="1"/>
  <c r="M158" i="61"/>
  <c r="N158" i="61" s="1"/>
  <c r="M96" i="61"/>
  <c r="N96" i="61" s="1"/>
  <c r="M94" i="61"/>
  <c r="N94" i="61" s="1"/>
  <c r="M52" i="61"/>
  <c r="N52" i="61" s="1"/>
  <c r="M57" i="61"/>
  <c r="N57" i="61" s="1"/>
  <c r="M55" i="61"/>
  <c r="N55" i="61" s="1"/>
  <c r="M127" i="61"/>
  <c r="N127" i="61" s="1"/>
  <c r="M109" i="61"/>
  <c r="N109" i="61" s="1"/>
  <c r="M162" i="61"/>
  <c r="N162" i="61" s="1"/>
  <c r="M142" i="61"/>
  <c r="N142" i="61" s="1"/>
  <c r="M51" i="61"/>
  <c r="N51" i="61" s="1"/>
  <c r="M137" i="61"/>
  <c r="N137" i="61" s="1"/>
  <c r="M175" i="61"/>
  <c r="N175" i="61" s="1"/>
  <c r="M177" i="61"/>
  <c r="N177" i="61" s="1"/>
  <c r="M112" i="61"/>
  <c r="N112" i="61" s="1"/>
  <c r="M40" i="61"/>
  <c r="N40" i="61" s="1"/>
  <c r="M157" i="61"/>
  <c r="N157" i="61" s="1"/>
  <c r="M155" i="61"/>
  <c r="N155" i="61" s="1"/>
  <c r="M179" i="61"/>
  <c r="N179" i="61" s="1"/>
  <c r="M9" i="61"/>
  <c r="N9" i="61" s="1"/>
  <c r="M134" i="61"/>
  <c r="N134" i="61" s="1"/>
  <c r="M120" i="61"/>
  <c r="N120" i="61" s="1"/>
  <c r="M49" i="61"/>
  <c r="N49" i="61" s="1"/>
  <c r="M181" i="61"/>
  <c r="N181" i="61" s="1"/>
  <c r="M143" i="61"/>
  <c r="N143" i="61" s="1"/>
  <c r="M14" i="61"/>
  <c r="N14" i="61" s="1"/>
  <c r="M95" i="61"/>
  <c r="N95" i="61" s="1"/>
  <c r="M128" i="61"/>
  <c r="N128" i="61" s="1"/>
  <c r="M101" i="61"/>
  <c r="N101" i="61" s="1"/>
  <c r="M185" i="61"/>
  <c r="N185" i="61" s="1"/>
  <c r="M54" i="61"/>
  <c r="N54" i="61" s="1"/>
  <c r="M138" i="61"/>
  <c r="N138" i="61" s="1"/>
  <c r="M17" i="61"/>
  <c r="N17" i="61" s="1"/>
  <c r="M67" i="61"/>
  <c r="N67" i="61" s="1"/>
  <c r="M72" i="61"/>
  <c r="N72" i="61" s="1"/>
  <c r="M50" i="61"/>
  <c r="N50" i="61" s="1"/>
  <c r="M132" i="61"/>
  <c r="N132" i="61" s="1"/>
  <c r="M150" i="61"/>
  <c r="N150" i="61" s="1"/>
  <c r="M129" i="61"/>
  <c r="N129" i="61" s="1"/>
  <c r="M56" i="61"/>
  <c r="N56" i="61" s="1"/>
  <c r="M106" i="61"/>
  <c r="N106" i="61" s="1"/>
  <c r="M167" i="61"/>
  <c r="N167" i="61" s="1"/>
  <c r="M11" i="61"/>
  <c r="N11" i="61" s="1"/>
  <c r="M25" i="61"/>
  <c r="N25" i="61" s="1"/>
  <c r="M182" i="61"/>
  <c r="N182" i="61" s="1"/>
  <c r="M116" i="61"/>
  <c r="N116" i="61" s="1"/>
  <c r="M135" i="61"/>
  <c r="N135" i="61" s="1"/>
  <c r="M89" i="61"/>
  <c r="N89" i="61" s="1"/>
  <c r="M79" i="61"/>
  <c r="N79" i="61" s="1"/>
  <c r="M153" i="61"/>
  <c r="N153" i="61" s="1"/>
  <c r="M145" i="61"/>
  <c r="N145" i="61" s="1"/>
  <c r="G188" i="61"/>
  <c r="M119" i="61"/>
  <c r="N119" i="61" s="1"/>
  <c r="M147" i="61"/>
  <c r="N147" i="61" s="1"/>
  <c r="M29" i="61"/>
  <c r="N29" i="61" s="1"/>
  <c r="M68" i="61"/>
  <c r="N68" i="61" s="1"/>
  <c r="M64" i="61"/>
  <c r="N64" i="61" s="1"/>
  <c r="M65" i="61"/>
  <c r="N65" i="61" s="1"/>
  <c r="M130" i="61"/>
  <c r="N130" i="61" s="1"/>
  <c r="M90" i="61"/>
  <c r="N90" i="61" s="1"/>
  <c r="M88" i="61"/>
  <c r="N88" i="61" s="1"/>
  <c r="M69" i="61"/>
  <c r="N69" i="61" s="1"/>
  <c r="M139" i="61"/>
  <c r="N139" i="61" s="1"/>
  <c r="M159" i="61"/>
  <c r="N159" i="61" s="1"/>
  <c r="M63" i="61"/>
  <c r="N63" i="61" s="1"/>
  <c r="M110" i="61"/>
  <c r="N110" i="61" s="1"/>
  <c r="M77" i="61"/>
  <c r="N77" i="61" s="1"/>
  <c r="M144" i="61"/>
  <c r="N144" i="61" s="1"/>
  <c r="M87" i="61"/>
  <c r="N87" i="61" s="1"/>
  <c r="M91" i="61"/>
  <c r="N91" i="61" s="1"/>
  <c r="M164" i="61"/>
  <c r="N164" i="61" s="1"/>
  <c r="M169" i="61"/>
  <c r="N169" i="61" s="1"/>
  <c r="M118" i="61"/>
  <c r="N118" i="61" s="1"/>
  <c r="M178" i="61"/>
  <c r="N178" i="61" s="1"/>
  <c r="M156" i="61"/>
  <c r="N156" i="61" s="1"/>
  <c r="M180" i="61"/>
  <c r="N180" i="61" s="1"/>
  <c r="M23" i="61"/>
  <c r="N23" i="61" s="1"/>
  <c r="M7" i="61"/>
  <c r="N7" i="61" s="1"/>
  <c r="M47" i="61"/>
  <c r="N47" i="61" s="1"/>
  <c r="M13" i="61"/>
  <c r="N13" i="61" s="1"/>
  <c r="M92" i="61"/>
  <c r="N92" i="61" s="1"/>
  <c r="M58" i="61"/>
  <c r="N58" i="61" s="1"/>
  <c r="M186" i="61"/>
  <c r="N186" i="61" s="1"/>
  <c r="M43" i="61"/>
  <c r="N43" i="61" s="1"/>
  <c r="M73" i="61"/>
  <c r="N73" i="61" s="1"/>
  <c r="M83" i="61"/>
  <c r="N83" i="61" s="1"/>
  <c r="M86" i="61"/>
  <c r="N86" i="61" s="1"/>
  <c r="M48" i="61"/>
  <c r="N48" i="61" s="1"/>
  <c r="M27" i="61"/>
  <c r="N27" i="61" s="1"/>
  <c r="M126" i="61"/>
  <c r="N126" i="61" s="1"/>
  <c r="M146" i="61"/>
  <c r="N146" i="61" s="1"/>
  <c r="M163" i="61"/>
  <c r="N163" i="61" s="1"/>
  <c r="M24" i="61"/>
  <c r="N24" i="61" s="1"/>
  <c r="M111" i="61"/>
  <c r="N111" i="61" s="1"/>
  <c r="M168" i="61"/>
  <c r="N168" i="61" s="1"/>
  <c r="M115" i="61"/>
  <c r="N115" i="61" s="1"/>
  <c r="M32" i="61"/>
  <c r="N32" i="61" s="1"/>
  <c r="E20" i="54"/>
  <c r="G24" i="54"/>
  <c r="D21" i="54"/>
  <c r="J24" i="54"/>
  <c r="F24" i="54"/>
  <c r="H20" i="54"/>
  <c r="I24" i="54"/>
  <c r="E24" i="54"/>
  <c r="F20" i="54"/>
  <c r="H24" i="54"/>
  <c r="D24" i="54"/>
  <c r="D20" i="54"/>
  <c r="D25" i="54"/>
  <c r="H23" i="54"/>
  <c r="E19" i="54"/>
  <c r="J19" i="54"/>
  <c r="I23" i="54"/>
  <c r="D19" i="54"/>
  <c r="G23" i="54"/>
  <c r="I20" i="54"/>
  <c r="D23" i="54"/>
  <c r="E23" i="54"/>
  <c r="F19" i="54"/>
  <c r="G20" i="54"/>
  <c r="I19" i="54"/>
  <c r="J20" i="54"/>
  <c r="D22" i="54"/>
  <c r="F23" i="54"/>
  <c r="J23" i="54"/>
  <c r="G19" i="54"/>
  <c r="D26" i="54"/>
  <c r="H19" i="54"/>
  <c r="K6" i="61"/>
  <c r="I188" i="61"/>
  <c r="E26" i="54"/>
  <c r="E21" i="54"/>
  <c r="L6" i="61"/>
  <c r="L188" i="61" s="1"/>
  <c r="D15" i="54" l="1"/>
  <c r="D13" i="54"/>
  <c r="D16" i="54"/>
  <c r="D14" i="54"/>
  <c r="K24" i="54"/>
  <c r="K20" i="54"/>
  <c r="M6" i="61"/>
  <c r="K188" i="61"/>
  <c r="I33" i="54" l="1"/>
  <c r="I48" i="54" s="1"/>
  <c r="N6" i="61"/>
  <c r="M188" i="61"/>
  <c r="J22" i="54" l="1"/>
  <c r="E22" i="54"/>
  <c r="F26" i="54"/>
  <c r="G26" i="54"/>
  <c r="I22" i="54"/>
  <c r="F25" i="54"/>
  <c r="F22" i="54"/>
  <c r="J25" i="54"/>
  <c r="H25" i="54"/>
  <c r="G21" i="54"/>
  <c r="H22" i="54"/>
  <c r="J26" i="54"/>
  <c r="I26" i="54"/>
  <c r="E25" i="54"/>
  <c r="J21" i="54"/>
  <c r="G22" i="54"/>
  <c r="G25" i="54"/>
  <c r="I25" i="54"/>
  <c r="H26" i="54"/>
  <c r="I21" i="54"/>
  <c r="F21" i="54"/>
  <c r="H21" i="54"/>
  <c r="I15" i="54" l="1"/>
  <c r="I16" i="54"/>
  <c r="I13" i="54"/>
  <c r="I14" i="54"/>
  <c r="J16" i="54"/>
  <c r="J13" i="54"/>
  <c r="J14" i="54"/>
  <c r="J15" i="54"/>
  <c r="H15" i="54"/>
  <c r="H14" i="54"/>
  <c r="H16" i="54"/>
  <c r="H13" i="54"/>
  <c r="G14" i="54"/>
  <c r="G15" i="54"/>
  <c r="G16" i="54"/>
  <c r="G13" i="54"/>
  <c r="E15" i="54"/>
  <c r="E13" i="54"/>
  <c r="E14" i="54"/>
  <c r="E16" i="54"/>
  <c r="F16" i="54"/>
  <c r="F13" i="54"/>
  <c r="F14" i="54"/>
  <c r="F15" i="54"/>
  <c r="K21" i="54"/>
  <c r="K25" i="54"/>
  <c r="K26" i="54"/>
  <c r="K22" i="54"/>
  <c r="I35" i="54" l="1"/>
  <c r="I50" i="54" s="1"/>
  <c r="I34" i="54"/>
  <c r="I49" i="54" s="1"/>
  <c r="K23" i="54" l="1"/>
  <c r="K19" i="54"/>
  <c r="I32" i="54" l="1"/>
  <c r="I47" i="54" s="1"/>
  <c r="K14" i="54"/>
  <c r="K13" i="54"/>
  <c r="K15" i="54"/>
  <c r="K16"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Maryam Rezaei</author>
  </authors>
  <commentList>
    <comment ref="G5" authorId="0" shapeId="0" xr:uid="{2ABC9E60-5BF3-4365-B5D0-2DE66E39A133}">
      <text>
        <r>
          <rPr>
            <b/>
            <sz val="9"/>
            <color indexed="81"/>
            <rFont val="Tahoma"/>
            <family val="2"/>
          </rPr>
          <t>Maryam Rezaei:</t>
        </r>
        <r>
          <rPr>
            <sz val="9"/>
            <color indexed="81"/>
            <rFont val="Tahoma"/>
            <family val="2"/>
          </rPr>
          <t xml:space="preserve">
بدهکار</t>
        </r>
      </text>
    </comment>
    <comment ref="H5" authorId="0" shapeId="0" xr:uid="{B09D95A5-03F2-495A-B390-F2AAF71FAF01}">
      <text>
        <r>
          <rPr>
            <b/>
            <sz val="9"/>
            <color indexed="81"/>
            <rFont val="Tahoma"/>
            <family val="2"/>
          </rPr>
          <t>Maryam Rezaei:</t>
        </r>
        <r>
          <rPr>
            <sz val="9"/>
            <color indexed="81"/>
            <rFont val="Tahoma"/>
            <family val="2"/>
          </rPr>
          <t xml:space="preserve">
بستانکار</t>
        </r>
      </text>
    </comment>
    <comment ref="I5" authorId="0" shapeId="0" xr:uid="{64CE75D5-5279-4C76-9CC1-63F717D348B7}">
      <text>
        <r>
          <rPr>
            <b/>
            <sz val="9"/>
            <color indexed="81"/>
            <rFont val="Tahoma"/>
            <family val="2"/>
          </rPr>
          <t>Maryam Rezaei:</t>
        </r>
        <r>
          <rPr>
            <sz val="9"/>
            <color indexed="81"/>
            <rFont val="Tahoma"/>
            <family val="2"/>
          </rPr>
          <t xml:space="preserve">
بدهکار</t>
        </r>
      </text>
    </comment>
    <comment ref="J5" authorId="0" shapeId="0" xr:uid="{485139B4-C4BC-4FF8-BEDF-029263544439}">
      <text>
        <r>
          <rPr>
            <b/>
            <sz val="9"/>
            <color indexed="81"/>
            <rFont val="Tahoma"/>
            <family val="2"/>
          </rPr>
          <t>Maryam Rezaei:</t>
        </r>
        <r>
          <rPr>
            <sz val="9"/>
            <color indexed="81"/>
            <rFont val="Tahoma"/>
            <family val="2"/>
          </rPr>
          <t xml:space="preserve">
بستانکار</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DEF35C-0485-4CAE-A00A-0EBCF86B88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2572C7-E9DC-43C0-BA93-8F33277BE743}" name="WorksheetConnection_بودجه!$B$3:$M$116" type="102" refreshedVersion="7" minRefreshableVersion="5" saveData="1">
    <extLst>
      <ext xmlns:x15="http://schemas.microsoft.com/office/spreadsheetml/2010/11/main" uri="{DE250136-89BD-433C-8126-D09CA5730AF9}">
        <x15:connection id="Range 1">
          <x15:rangePr sourceName="_xlcn.WorksheetConnection_بودجهB3M1161"/>
        </x15:connection>
      </ext>
    </extLst>
  </connection>
</connections>
</file>

<file path=xl/sharedStrings.xml><?xml version="1.0" encoding="utf-8"?>
<sst xmlns="http://schemas.openxmlformats.org/spreadsheetml/2006/main" count="2653" uniqueCount="218">
  <si>
    <t>تامین</t>
  </si>
  <si>
    <t>نصب</t>
  </si>
  <si>
    <t>جمع</t>
  </si>
  <si>
    <t>راه اندازی</t>
  </si>
  <si>
    <t>سایر</t>
  </si>
  <si>
    <t>مدیریت</t>
  </si>
  <si>
    <t>تولید</t>
  </si>
  <si>
    <t>اداری</t>
  </si>
  <si>
    <t>واریزی نامشخص</t>
  </si>
  <si>
    <t>مکانیکال</t>
  </si>
  <si>
    <t>شرح</t>
  </si>
  <si>
    <t>ستاد</t>
  </si>
  <si>
    <t>بالاسری</t>
  </si>
  <si>
    <t>-</t>
  </si>
  <si>
    <t>مهندسی</t>
  </si>
  <si>
    <t>ریال</t>
  </si>
  <si>
    <t>پیش پرداخت</t>
  </si>
  <si>
    <t>کد پروژه کارفرما</t>
  </si>
  <si>
    <t>وضعیت</t>
  </si>
  <si>
    <t>FI03107</t>
  </si>
  <si>
    <t>FB03081</t>
  </si>
  <si>
    <t>بدهکار</t>
  </si>
  <si>
    <t>بستانکار</t>
  </si>
  <si>
    <t>مجموع</t>
  </si>
  <si>
    <t>کارمزد بانکی</t>
  </si>
  <si>
    <t>1404/09/10</t>
  </si>
  <si>
    <t>1404/05/25</t>
  </si>
  <si>
    <t>1404/06/09</t>
  </si>
  <si>
    <t>FP04006</t>
  </si>
  <si>
    <t>1404/08/10</t>
  </si>
  <si>
    <t>1404/07/19</t>
  </si>
  <si>
    <t>1404/07/22</t>
  </si>
  <si>
    <t>1404/07/21</t>
  </si>
  <si>
    <t>1404/07/23</t>
  </si>
  <si>
    <t>1404/08/27</t>
  </si>
  <si>
    <t>1404/08/14</t>
  </si>
  <si>
    <t>1404/08/17</t>
  </si>
  <si>
    <t>AED</t>
  </si>
  <si>
    <t>€</t>
  </si>
  <si>
    <t>1404/09/15</t>
  </si>
  <si>
    <t>1404/08/19</t>
  </si>
  <si>
    <t>1404/08/21</t>
  </si>
  <si>
    <t>1404/08/22</t>
  </si>
  <si>
    <t>راهنما</t>
  </si>
  <si>
    <t>دریافتی از کارفرما</t>
  </si>
  <si>
    <t>ثبت پرداخت</t>
  </si>
  <si>
    <t>شماره قرارداد</t>
  </si>
  <si>
    <t>شماره ابلاغ</t>
  </si>
  <si>
    <t>شماره صورت وضعیت</t>
  </si>
  <si>
    <t>کد پرونده</t>
  </si>
  <si>
    <t>کد پروژه</t>
  </si>
  <si>
    <t>ارز</t>
  </si>
  <si>
    <t>درصد پروژه</t>
  </si>
  <si>
    <t>سهم پروژه</t>
  </si>
  <si>
    <t>سهم بالاسری از پروژه</t>
  </si>
  <si>
    <t>مبلغ واریز به پروژه</t>
  </si>
  <si>
    <t>مبلغ برداشت از پروژه</t>
  </si>
  <si>
    <t xml:space="preserve">شرح </t>
  </si>
  <si>
    <t>درصد مواد</t>
  </si>
  <si>
    <t>درصد تولید</t>
  </si>
  <si>
    <t>اصلاح درصد بالاسری تولید</t>
  </si>
  <si>
    <t>انتقال از تامین به تولید</t>
  </si>
  <si>
    <t>سهم بالاسری از تولید</t>
  </si>
  <si>
    <t>سهم تولید</t>
  </si>
  <si>
    <t>شماره درخواست پنل</t>
  </si>
  <si>
    <r>
      <t>واکا (</t>
    </r>
    <r>
      <rPr>
        <b/>
        <sz val="12"/>
        <rFont val="Times New Roman"/>
        <family val="1"/>
      </rPr>
      <t>SBU</t>
    </r>
    <r>
      <rPr>
        <b/>
        <sz val="12"/>
        <rFont val="Calibri"/>
        <family val="2"/>
        <scheme val="minor"/>
      </rPr>
      <t>)</t>
    </r>
  </si>
  <si>
    <t>پروژه/پرداخت</t>
  </si>
  <si>
    <t>نام شرکت</t>
  </si>
  <si>
    <t>ثبت دریافتی از کارفرما</t>
  </si>
  <si>
    <t>راه‌اندازی</t>
  </si>
  <si>
    <t>1404/08/25</t>
  </si>
  <si>
    <t>ثبت کننده</t>
  </si>
  <si>
    <t>شماره سند راهکاران</t>
  </si>
  <si>
    <t>مریم رضائی</t>
  </si>
  <si>
    <t>FE04168</t>
  </si>
  <si>
    <t>پیش دریافت</t>
  </si>
  <si>
    <t>FB04170</t>
  </si>
  <si>
    <t>FB04167</t>
  </si>
  <si>
    <t xml:space="preserve">حسابهای پرداختنی تجاری </t>
  </si>
  <si>
    <t>پیش پرداخت خرید کالا و خدمات</t>
  </si>
  <si>
    <t>FB02216</t>
  </si>
  <si>
    <t>FB04184</t>
  </si>
  <si>
    <t>FB04096</t>
  </si>
  <si>
    <t>قرض</t>
  </si>
  <si>
    <t>عودت قرض</t>
  </si>
  <si>
    <t>1404/05/24</t>
  </si>
  <si>
    <t>معادل ریالی دریافت/پرداخت</t>
  </si>
  <si>
    <t>مبلغ درخواست پرداخت در پنل</t>
  </si>
  <si>
    <t>FP03290</t>
  </si>
  <si>
    <t>نرخ ارز در روز پرداخت</t>
  </si>
  <si>
    <t>توضیحات نرخ ارز و معادل ریالی</t>
  </si>
  <si>
    <t>1404/09/02</t>
  </si>
  <si>
    <t>1404/09/04</t>
  </si>
  <si>
    <t>تاریخ درخواست پرداخت</t>
  </si>
  <si>
    <t>ارز درخواستی پنل</t>
  </si>
  <si>
    <t>معادل یورویی دریافتی از کارفرما</t>
  </si>
  <si>
    <t>پرداخت و کارمزد بانکی</t>
  </si>
  <si>
    <t>کد عنوان تراکنش</t>
  </si>
  <si>
    <t>عنوان تراکنش</t>
  </si>
  <si>
    <t>1404/08/26</t>
  </si>
  <si>
    <t>علی الحساب پرداختی پروژه به پیمانکاران</t>
  </si>
  <si>
    <t>انتقال بین SBU</t>
  </si>
  <si>
    <t>1404/09/08</t>
  </si>
  <si>
    <t>FB04095</t>
  </si>
  <si>
    <t>1404/09/09</t>
  </si>
  <si>
    <t>FB04083</t>
  </si>
  <si>
    <t>شماره نامه درخواست به بانک</t>
  </si>
  <si>
    <t>*</t>
  </si>
  <si>
    <t>1404/09/11</t>
  </si>
  <si>
    <t>FB04089</t>
  </si>
  <si>
    <t>1404/09/12</t>
  </si>
  <si>
    <t>واکای طرف قرض</t>
  </si>
  <si>
    <t>کد پروژه طرف قرض</t>
  </si>
  <si>
    <t>قرض گرفته</t>
  </si>
  <si>
    <t>قرض داده</t>
  </si>
  <si>
    <t>قرض پس گرفته</t>
  </si>
  <si>
    <t>قرض پس داده</t>
  </si>
  <si>
    <t>بازپرداخت قرض داده شده</t>
  </si>
  <si>
    <t>بازپرداخت قرض گرفته شده</t>
  </si>
  <si>
    <t>مانده قرض</t>
  </si>
  <si>
    <t>واکا (SBU)</t>
  </si>
  <si>
    <t>1404/09/16</t>
  </si>
  <si>
    <t>1404/09/18</t>
  </si>
  <si>
    <t>عملیاتی</t>
  </si>
  <si>
    <t>موجودی نقد</t>
  </si>
  <si>
    <t>FB04151 </t>
  </si>
  <si>
    <t>1404/09/23</t>
  </si>
  <si>
    <t>درصد کارمزد بانکی</t>
  </si>
  <si>
    <t>1404/09/29</t>
  </si>
  <si>
    <t>1404/10/03</t>
  </si>
  <si>
    <t>1404/10/07</t>
  </si>
  <si>
    <t>1404/10/09</t>
  </si>
  <si>
    <t>1404/10/15</t>
  </si>
  <si>
    <t>FP03314</t>
  </si>
  <si>
    <t>FP03297</t>
  </si>
  <si>
    <t>FP03314, FP03297</t>
  </si>
  <si>
    <t>1404/10/16</t>
  </si>
  <si>
    <t>1404/10/22</t>
  </si>
  <si>
    <t>1404/10/24</t>
  </si>
  <si>
    <t>فروش درهم ستاد به نرخ 388,500 ریال</t>
  </si>
  <si>
    <t>تاریخ دریافت/پرداخت (بانک)</t>
  </si>
  <si>
    <t>هزینه کرد</t>
  </si>
  <si>
    <t>تاریخ پرداخت به وندور (میلادی)</t>
  </si>
  <si>
    <t>تاریخ پرداخت به وندور (شمسی)</t>
  </si>
  <si>
    <t>1404/10/25</t>
  </si>
  <si>
    <t>عنوان دریافت/پرداخت راهکاران</t>
  </si>
  <si>
    <t>واکا بیانگر واحد کسب و کار است که مدنظر هر واحد در یک پروژه است.</t>
  </si>
  <si>
    <t>موارد ستاره‌دار در فرمول نقدینگی قرار می‌گیرند.</t>
  </si>
  <si>
    <t>Project 1</t>
  </si>
  <si>
    <t>بابت کارمزد بانکی تامین Project 1</t>
  </si>
  <si>
    <t>قرض از مکانیکال Project 1 به تامین Project 1</t>
  </si>
  <si>
    <t>قرض از مهندسی Project 1 به تامین Project 1</t>
  </si>
  <si>
    <t>بابت کارمزد بانکی مکانیکال Project 1</t>
  </si>
  <si>
    <t>قرض از مهندسی Project 1 به مکانیکال Project 1</t>
  </si>
  <si>
    <t>عودت وجه بابت کارمزد بانکی مکانیکال Project 1</t>
  </si>
  <si>
    <t>بابت کارمزد بانکی تولید Project 1</t>
  </si>
  <si>
    <t>Project 2</t>
  </si>
  <si>
    <t>$</t>
  </si>
  <si>
    <t>¥</t>
  </si>
  <si>
    <t>تاریخ به‌روز رسانی: 1405/04/09</t>
  </si>
  <si>
    <t>قرض و عودت قرض بین پروژه‌ها:</t>
  </si>
  <si>
    <t xml:space="preserve">تاریخ کنترل با گردش بانک: </t>
  </si>
  <si>
    <t>موجودی نقد $</t>
  </si>
  <si>
    <r>
      <t xml:space="preserve">موجودی نقد </t>
    </r>
    <r>
      <rPr>
        <b/>
        <sz val="14"/>
        <color theme="1"/>
        <rFont val="Calibri"/>
        <family val="2"/>
      </rPr>
      <t>¥</t>
    </r>
  </si>
  <si>
    <r>
      <t xml:space="preserve">موجودی نقد </t>
    </r>
    <r>
      <rPr>
        <b/>
        <sz val="14"/>
        <color theme="1"/>
        <rFont val="Times New Roman"/>
        <family val="1"/>
      </rPr>
      <t>€</t>
    </r>
  </si>
  <si>
    <t>موجودی نقد AED</t>
  </si>
  <si>
    <t>واریزی نامشخص $</t>
  </si>
  <si>
    <r>
      <t xml:space="preserve">واریزی نامشخص </t>
    </r>
    <r>
      <rPr>
        <b/>
        <sz val="14"/>
        <color theme="0"/>
        <rFont val="Calibri"/>
        <family val="2"/>
      </rPr>
      <t>¥</t>
    </r>
  </si>
  <si>
    <r>
      <t xml:space="preserve">واریزی نامشخص </t>
    </r>
    <r>
      <rPr>
        <b/>
        <sz val="14"/>
        <color theme="0"/>
        <rFont val="Times New Roman"/>
        <family val="1"/>
      </rPr>
      <t>€</t>
    </r>
  </si>
  <si>
    <t>واریزی نامشخص AED</t>
  </si>
  <si>
    <t>ستاد $</t>
  </si>
  <si>
    <r>
      <t xml:space="preserve">ستاد </t>
    </r>
    <r>
      <rPr>
        <b/>
        <sz val="14"/>
        <color theme="1"/>
        <rFont val="Calibri"/>
        <family val="2"/>
      </rPr>
      <t>¥</t>
    </r>
  </si>
  <si>
    <r>
      <t xml:space="preserve">ستاد </t>
    </r>
    <r>
      <rPr>
        <b/>
        <sz val="14"/>
        <color theme="1"/>
        <rFont val="Times New Roman"/>
        <family val="1"/>
      </rPr>
      <t>€</t>
    </r>
  </si>
  <si>
    <t>ستاد AED</t>
  </si>
  <si>
    <t>مجموع عملیاتی $</t>
  </si>
  <si>
    <r>
      <t xml:space="preserve">مجموع عملیاتی </t>
    </r>
    <r>
      <rPr>
        <b/>
        <sz val="14"/>
        <color theme="1"/>
        <rFont val="Calibri"/>
        <family val="2"/>
      </rPr>
      <t>¥</t>
    </r>
  </si>
  <si>
    <r>
      <t xml:space="preserve">مجموع عملیاتی </t>
    </r>
    <r>
      <rPr>
        <b/>
        <sz val="14"/>
        <color theme="1"/>
        <rFont val="Times New Roman"/>
        <family val="1"/>
      </rPr>
      <t>€</t>
    </r>
  </si>
  <si>
    <t>مجموع عملیاتی AED</t>
  </si>
  <si>
    <t>واکا</t>
  </si>
  <si>
    <t>ارز 1</t>
  </si>
  <si>
    <t>ارز 2</t>
  </si>
  <si>
    <t>نرخ ارز 1</t>
  </si>
  <si>
    <t>نرخ ارز 2</t>
  </si>
  <si>
    <t>کارفرما 1</t>
  </si>
  <si>
    <t>وندور 1</t>
  </si>
  <si>
    <t>وندور 2</t>
  </si>
  <si>
    <t>وندور 3</t>
  </si>
  <si>
    <t>وندور 4</t>
  </si>
  <si>
    <t>وندور 5</t>
  </si>
  <si>
    <t>وندور 6</t>
  </si>
  <si>
    <t>وندور 7</t>
  </si>
  <si>
    <t>پرداخت ارزی به وندور 1</t>
  </si>
  <si>
    <t>پرداخت ارزی به وندور 2</t>
  </si>
  <si>
    <t>پرداخت ارزی به وندور 3</t>
  </si>
  <si>
    <t>پرداخت ارزی به وندور 4</t>
  </si>
  <si>
    <t>پرداخت ارزی به وندور 5</t>
  </si>
  <si>
    <t>پرداخت ارزی به وندور 6</t>
  </si>
  <si>
    <t>عودت پرداخت ارزی به وندور 6</t>
  </si>
  <si>
    <t>کارفرما 2</t>
  </si>
  <si>
    <t>وندور 8</t>
  </si>
  <si>
    <t>وندور 9</t>
  </si>
  <si>
    <t>وندور 10</t>
  </si>
  <si>
    <t xml:space="preserve">انتقال از تامین Project 1 به تولید این پروژه </t>
  </si>
  <si>
    <t>پرداخت</t>
  </si>
  <si>
    <t>قرض از تامین Project 1 به تولید Project 1</t>
  </si>
  <si>
    <t>قرض از تولید Project 1 به مکانیکال Project 1</t>
  </si>
  <si>
    <t>عودت وجه بابت پیش پرداخت ارزی</t>
  </si>
  <si>
    <t>عودت قرض از تامین Project 1 به مکانیکال Project 1</t>
  </si>
  <si>
    <t>فروش درهم تولید Project 2 جهت ایجاد نقدینگی ریالی</t>
  </si>
  <si>
    <t>پرداخت ارزی</t>
  </si>
  <si>
    <t>پیش پرداخت ارزی</t>
  </si>
  <si>
    <t>قرض از تامین Project 2 به نصب Project 2</t>
  </si>
  <si>
    <t>قرض از تولید Project 2 به تولید Project 1</t>
  </si>
  <si>
    <t xml:space="preserve">انتقال از تامین Project 2 به تولید این پروژه </t>
  </si>
  <si>
    <t>بابت کارمزد بانکی تامین Project 2</t>
  </si>
  <si>
    <t>بابت کارمزد بانکی نصب Project 2</t>
  </si>
  <si>
    <t>عودت وجه بابت کارمزد بانکی تامین Project 2</t>
  </si>
  <si>
    <t>بابت کارمزد بانکی تولید Project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</si>
</sst>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0.000%"/>
    <numFmt numFmtId="166" formatCode="#,##0.0"/>
    <numFmt numFmtId="167" formatCode="[$-409]d\-mmm\-yyyy;@"/>
    <numFmt numFmtId="168" formatCode="_ [$¥-804]* #,##0.00_ ;_ [$¥-804]* \-#,##0.00_ ;_ [$¥-804]* &quot;-&quot;??_ ;_ @_ "/>
    <numFmt numFmtId="169" formatCode="_-[$¥-411]* #,##0.00_-;\-[$¥-411]* #,##0.00_-;_-[$¥-411]* &quot;-&quot;??_-;_-@_-"/>
    <numFmt numFmtId="170" formatCode="_([$€-2]\ * #,##0.00_);_([$€-2]\ * \(#,##0.00\);_([$€-2]\ * &quot;-&quot;??_);_(@_)"/>
  </numFmts>
  <fonts count="42">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B Nazanin"/>
      <charset val="178"/>
    </font>
    <font>
      <sz val="14"/>
      <color theme="1"/>
      <name val="B Nazanin"/>
      <charset val="178"/>
    </font>
    <font>
      <b/>
      <sz val="18"/>
      <color theme="1"/>
      <name val="B Nazanin"/>
      <charset val="178"/>
    </font>
    <font>
      <sz val="11"/>
      <color rgb="FF000000"/>
      <name val="Calibri"/>
      <family val="2"/>
    </font>
    <font>
      <sz val="12"/>
      <color theme="1"/>
      <name val="Calibri"/>
      <family val="2"/>
      <scheme val="minor"/>
    </font>
    <font>
      <sz val="11"/>
      <color theme="1" tint="0.24994659260841701"/>
      <name val="Calibri"/>
      <family val="2"/>
      <scheme val="minor"/>
    </font>
    <font>
      <b/>
      <sz val="9"/>
      <color indexed="81"/>
      <name val="Tahoma"/>
      <family val="2"/>
    </font>
    <font>
      <sz val="9"/>
      <color indexed="81"/>
      <name val="Tahoma"/>
      <family val="2"/>
    </font>
    <font>
      <sz val="11"/>
      <color theme="0"/>
      <name val="Calibri"/>
      <family val="2"/>
      <scheme val="minor"/>
    </font>
    <font>
      <sz val="11"/>
      <name val="Calibri"/>
      <family val="2"/>
      <scheme val="minor"/>
    </font>
    <font>
      <b/>
      <sz val="11"/>
      <name val="Calibri"/>
      <family val="2"/>
      <scheme val="minor"/>
    </font>
    <font>
      <sz val="10"/>
      <name val="Tahoma"/>
      <family val="2"/>
    </font>
    <font>
      <sz val="14"/>
      <color theme="1"/>
      <name val="Times New Roman"/>
      <family val="1"/>
    </font>
    <font>
      <b/>
      <sz val="14"/>
      <color theme="0"/>
      <name val="B Nazanin"/>
      <charset val="178"/>
    </font>
    <font>
      <b/>
      <sz val="12"/>
      <name val="Calibri"/>
      <family val="2"/>
      <scheme val="minor"/>
    </font>
    <font>
      <sz val="12"/>
      <name val="Times New Roman"/>
      <family val="1"/>
    </font>
    <font>
      <sz val="12"/>
      <name val="Calibri"/>
      <family val="2"/>
      <scheme val="minor"/>
    </font>
    <font>
      <b/>
      <sz val="14"/>
      <color theme="1"/>
      <name val="Times New Roman"/>
      <family val="1"/>
    </font>
    <font>
      <b/>
      <sz val="12"/>
      <name val="Times New Roman"/>
      <family val="1"/>
    </font>
    <font>
      <b/>
      <sz val="12"/>
      <color theme="1"/>
      <name val="Calibri"/>
      <family val="2"/>
      <scheme val="minor"/>
    </font>
    <font>
      <sz val="12"/>
      <color rgb="FF0099FF"/>
      <name val="Calibri"/>
      <family val="2"/>
      <scheme val="minor"/>
    </font>
    <font>
      <sz val="12"/>
      <color theme="1"/>
      <name val="Times New Roman"/>
      <family val="1"/>
    </font>
    <font>
      <sz val="12"/>
      <color theme="1"/>
      <name val="Aptos Narrow"/>
      <family val="2"/>
    </font>
    <font>
      <b/>
      <sz val="11"/>
      <color theme="0"/>
      <name val="Calibri"/>
      <family val="2"/>
      <scheme val="minor"/>
    </font>
    <font>
      <sz val="11"/>
      <color theme="0" tint="-0.249977111117893"/>
      <name val="Calibri"/>
      <family val="2"/>
      <scheme val="minor"/>
    </font>
    <font>
      <b/>
      <sz val="11"/>
      <color rgb="FF0000FF"/>
      <name val="Calibri"/>
      <family val="2"/>
      <scheme val="minor"/>
    </font>
    <font>
      <sz val="11"/>
      <name val="Times New Roman"/>
      <family val="1"/>
    </font>
    <font>
      <b/>
      <sz val="18"/>
      <color theme="0"/>
      <name val="B Nazanin"/>
      <charset val="178"/>
    </font>
    <font>
      <b/>
      <sz val="14"/>
      <name val="Times New Roman"/>
      <family val="1"/>
    </font>
    <font>
      <b/>
      <sz val="14"/>
      <color theme="0"/>
      <name val="Times New Roman"/>
      <family val="1"/>
    </font>
    <font>
      <sz val="11"/>
      <color theme="1"/>
      <name val="Calibri"/>
      <family val="2"/>
      <charset val="178"/>
      <scheme val="minor"/>
    </font>
    <font>
      <sz val="14"/>
      <name val="B Nazanin"/>
      <charset val="178"/>
    </font>
    <font>
      <sz val="14"/>
      <color theme="1"/>
      <name val="Calibri"/>
      <family val="2"/>
    </font>
    <font>
      <sz val="12"/>
      <name val="Calibri"/>
      <family val="2"/>
    </font>
    <font>
      <b/>
      <sz val="14"/>
      <name val="Calibri"/>
      <family val="2"/>
    </font>
    <font>
      <b/>
      <sz val="14"/>
      <color theme="1"/>
      <name val="Calibri"/>
      <family val="2"/>
    </font>
    <font>
      <b/>
      <sz val="14"/>
      <color theme="0"/>
      <name val="Calibri"/>
      <family val="2"/>
    </font>
    <font>
      <sz val="12"/>
      <color theme="1"/>
      <name val="Calibri"/>
      <family val="2"/>
    </font>
  </fonts>
  <fills count="2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0099FF"/>
        <bgColor indexed="64"/>
      </patternFill>
    </fill>
    <fill>
      <patternFill patternType="solid">
        <fgColor rgb="FFFF7C80"/>
        <bgColor indexed="64"/>
      </patternFill>
    </fill>
    <fill>
      <patternFill patternType="solid">
        <fgColor rgb="FFDDFFDD"/>
        <bgColor indexed="64"/>
      </patternFill>
    </fill>
    <fill>
      <patternFill patternType="solid">
        <fgColor rgb="FFDDFFDD"/>
        <bgColor theme="8" tint="0.79998168889431442"/>
      </patternFill>
    </fill>
    <fill>
      <patternFill patternType="solid">
        <fgColor theme="1" tint="4.9989318521683403E-2"/>
        <bgColor indexed="64"/>
      </patternFill>
    </fill>
    <fill>
      <patternFill patternType="solid">
        <fgColor theme="1"/>
        <bgColor indexed="64"/>
      </patternFill>
    </fill>
    <fill>
      <patternFill patternType="solid">
        <fgColor rgb="FFCCFFCC"/>
        <bgColor indexed="64"/>
      </patternFill>
    </fill>
    <fill>
      <patternFill patternType="solid">
        <fgColor rgb="FFC1EFFF"/>
        <bgColor indexed="64"/>
      </patternFill>
    </fill>
    <fill>
      <patternFill patternType="solid">
        <fgColor rgb="FFEBFFFF"/>
        <bgColor indexed="64"/>
      </patternFill>
    </fill>
    <fill>
      <patternFill patternType="solid">
        <fgColor rgb="FF339933"/>
        <bgColor indexed="64"/>
      </patternFill>
    </fill>
    <fill>
      <patternFill patternType="solid">
        <fgColor rgb="FFCCCC00"/>
        <bgColor indexed="64"/>
      </patternFill>
    </fill>
    <fill>
      <patternFill patternType="solid">
        <fgColor rgb="FF00FFFF"/>
        <bgColor indexed="64"/>
      </patternFill>
    </fill>
    <fill>
      <patternFill patternType="solid">
        <fgColor rgb="FFFFD5FF"/>
        <bgColor indexed="64"/>
      </patternFill>
    </fill>
    <fill>
      <patternFill patternType="solid">
        <fgColor rgb="FF006600"/>
        <bgColor indexed="64"/>
      </patternFill>
    </fill>
    <fill>
      <patternFill patternType="solid">
        <fgColor rgb="FF660066"/>
        <bgColor indexed="64"/>
      </patternFill>
    </fill>
    <fill>
      <patternFill patternType="solid">
        <fgColor rgb="FF3333CC"/>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bottom/>
      <diagonal/>
    </border>
    <border>
      <left style="thin">
        <color theme="0"/>
      </left>
      <right/>
      <top/>
      <bottom style="thin">
        <color theme="0"/>
      </bottom>
      <diagonal/>
    </border>
    <border>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0" fontId="7" fillId="0" borderId="0"/>
    <xf numFmtId="43" fontId="7" fillId="0" borderId="0" applyFont="0" applyFill="0" applyBorder="0" applyAlignment="0" applyProtection="0"/>
    <xf numFmtId="9" fontId="1" fillId="0" borderId="0" applyFont="0" applyFill="0" applyBorder="0" applyAlignment="0" applyProtection="0"/>
    <xf numFmtId="0" fontId="9" fillId="0" borderId="0"/>
    <xf numFmtId="0" fontId="15" fillId="0" borderId="0">
      <alignment horizontal="right"/>
    </xf>
    <xf numFmtId="0" fontId="15" fillId="0" borderId="0">
      <alignment horizontal="right"/>
    </xf>
    <xf numFmtId="9" fontId="7" fillId="0" borderId="0" applyFont="0" applyFill="0" applyBorder="0" applyAlignment="0" applyProtection="0"/>
    <xf numFmtId="0" fontId="34" fillId="0" borderId="0"/>
  </cellStyleXfs>
  <cellXfs count="196">
    <xf numFmtId="0" fontId="0" fillId="0" borderId="0" xfId="0"/>
    <xf numFmtId="0" fontId="8" fillId="0" borderId="0" xfId="0" applyFont="1"/>
    <xf numFmtId="0" fontId="0" fillId="0" borderId="0" xfId="0" applyAlignment="1">
      <alignment vertical="center"/>
    </xf>
    <xf numFmtId="37" fontId="0" fillId="0" borderId="0" xfId="0" applyNumberFormat="1" applyAlignment="1">
      <alignment vertical="center"/>
    </xf>
    <xf numFmtId="0" fontId="5" fillId="0" borderId="10" xfId="0" applyFont="1" applyBorder="1" applyAlignment="1">
      <alignment vertical="center"/>
    </xf>
    <xf numFmtId="0" fontId="5" fillId="0" borderId="10" xfId="0" applyFont="1" applyBorder="1" applyAlignment="1">
      <alignment horizontal="center" vertical="center"/>
    </xf>
    <xf numFmtId="3" fontId="5" fillId="0" borderId="10" xfId="0" applyNumberFormat="1" applyFont="1" applyBorder="1" applyAlignment="1">
      <alignment vertical="center"/>
    </xf>
    <xf numFmtId="0" fontId="5" fillId="0" borderId="11" xfId="0" applyFont="1" applyBorder="1" applyAlignment="1">
      <alignment vertical="center"/>
    </xf>
    <xf numFmtId="0" fontId="5" fillId="0" borderId="14" xfId="0" applyFont="1" applyBorder="1" applyAlignment="1">
      <alignment horizontal="center" vertical="center"/>
    </xf>
    <xf numFmtId="164" fontId="5" fillId="0" borderId="14" xfId="1" applyNumberFormat="1" applyFont="1" applyFill="1" applyBorder="1" applyAlignment="1">
      <alignment horizontal="center" vertical="center"/>
    </xf>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9" fillId="9" borderId="1" xfId="6" applyFont="1" applyFill="1" applyBorder="1" applyAlignment="1">
      <alignment horizontal="center" vertical="center"/>
    </xf>
    <xf numFmtId="0" fontId="20" fillId="3" borderId="1" xfId="6" applyFont="1" applyFill="1" applyBorder="1" applyAlignment="1">
      <alignment horizontal="center" vertical="center"/>
    </xf>
    <xf numFmtId="3" fontId="20" fillId="3" borderId="1" xfId="6" applyNumberFormat="1" applyFont="1" applyFill="1" applyBorder="1" applyAlignment="1">
      <alignment horizontal="center" vertical="center"/>
    </xf>
    <xf numFmtId="4" fontId="19" fillId="3" borderId="1" xfId="6" applyNumberFormat="1" applyFont="1" applyFill="1" applyBorder="1" applyAlignment="1">
      <alignment horizontal="center" vertical="center"/>
    </xf>
    <xf numFmtId="0" fontId="19" fillId="0" borderId="1" xfId="6" applyFont="1" applyBorder="1" applyAlignment="1">
      <alignment horizontal="center" vertical="center"/>
    </xf>
    <xf numFmtId="0" fontId="20" fillId="0" borderId="1" xfId="6" applyFont="1" applyBorder="1" applyAlignment="1">
      <alignment horizontal="center" vertical="center"/>
    </xf>
    <xf numFmtId="3" fontId="20" fillId="0" borderId="1" xfId="6" applyNumberFormat="1" applyFont="1" applyBorder="1" applyAlignment="1">
      <alignment horizontal="center" vertical="center"/>
    </xf>
    <xf numFmtId="4" fontId="19" fillId="0" borderId="1" xfId="6" applyNumberFormat="1" applyFont="1" applyBorder="1" applyAlignment="1">
      <alignment horizontal="center" vertical="center"/>
    </xf>
    <xf numFmtId="0" fontId="20" fillId="9" borderId="1" xfId="6" applyFont="1" applyFill="1" applyBorder="1" applyAlignment="1">
      <alignment horizontal="center" vertical="center"/>
    </xf>
    <xf numFmtId="0" fontId="16" fillId="0" borderId="1" xfId="0" applyFont="1" applyBorder="1" applyAlignment="1">
      <alignment horizontal="center" vertical="center"/>
    </xf>
    <xf numFmtId="0" fontId="21" fillId="0" borderId="6" xfId="0" applyFont="1" applyBorder="1" applyAlignment="1">
      <alignment horizontal="center" vertical="center"/>
    </xf>
    <xf numFmtId="0" fontId="5" fillId="0" borderId="4" xfId="0" applyFont="1" applyBorder="1" applyAlignment="1">
      <alignment horizontal="center" vertical="center"/>
    </xf>
    <xf numFmtId="164" fontId="5" fillId="0" borderId="7" xfId="1" applyNumberFormat="1" applyFont="1" applyFill="1" applyBorder="1" applyAlignment="1">
      <alignment horizontal="center" vertical="center"/>
    </xf>
    <xf numFmtId="0" fontId="5" fillId="0" borderId="7"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3" fontId="5" fillId="0" borderId="10" xfId="0" applyNumberFormat="1" applyFont="1" applyBorder="1" applyAlignment="1">
      <alignment horizontal="center" vertical="center"/>
    </xf>
    <xf numFmtId="3" fontId="4" fillId="9" borderId="1" xfId="1" applyNumberFormat="1" applyFont="1" applyFill="1" applyBorder="1" applyAlignment="1">
      <alignment horizontal="center" vertical="center"/>
    </xf>
    <xf numFmtId="38" fontId="4" fillId="0" borderId="5" xfId="0" applyNumberFormat="1" applyFont="1" applyBorder="1" applyAlignment="1">
      <alignment horizontal="center" vertical="center"/>
    </xf>
    <xf numFmtId="164" fontId="5" fillId="0" borderId="15" xfId="1" applyNumberFormat="1" applyFont="1" applyFill="1" applyBorder="1" applyAlignment="1">
      <alignment horizontal="center" vertical="center"/>
    </xf>
    <xf numFmtId="0" fontId="5" fillId="0" borderId="16" xfId="0" applyFont="1" applyBorder="1" applyAlignment="1">
      <alignment vertical="center"/>
    </xf>
    <xf numFmtId="40" fontId="4" fillId="0" borderId="5" xfId="0" applyNumberFormat="1" applyFont="1" applyBorder="1" applyAlignment="1">
      <alignment horizontal="center" vertical="center"/>
    </xf>
    <xf numFmtId="40" fontId="5" fillId="0" borderId="1" xfId="1" applyNumberFormat="1" applyFont="1" applyFill="1" applyBorder="1" applyAlignment="1">
      <alignment horizontal="center" vertical="center"/>
    </xf>
    <xf numFmtId="40" fontId="5" fillId="0" borderId="1" xfId="0" applyNumberFormat="1" applyFont="1" applyBorder="1" applyAlignment="1">
      <alignment horizontal="center" vertical="center"/>
    </xf>
    <xf numFmtId="4" fontId="8" fillId="0" borderId="1" xfId="0" applyNumberFormat="1" applyFont="1" applyBorder="1" applyAlignment="1">
      <alignment horizontal="center" vertical="center" wrapText="1" readingOrder="2"/>
    </xf>
    <xf numFmtId="4" fontId="8" fillId="0" borderId="1" xfId="0" applyNumberFormat="1" applyFont="1" applyBorder="1" applyAlignment="1">
      <alignment horizontal="center" vertical="center" wrapText="1"/>
    </xf>
    <xf numFmtId="40" fontId="5" fillId="0" borderId="14" xfId="1" applyNumberFormat="1" applyFont="1" applyFill="1" applyBorder="1" applyAlignment="1">
      <alignment horizontal="center" vertical="center"/>
    </xf>
    <xf numFmtId="4" fontId="5" fillId="0" borderId="10" xfId="0" applyNumberFormat="1" applyFont="1" applyBorder="1" applyAlignment="1">
      <alignment horizontal="center" vertical="center"/>
    </xf>
    <xf numFmtId="43" fontId="5" fillId="0" borderId="10" xfId="0" applyNumberFormat="1" applyFont="1" applyBorder="1" applyAlignment="1">
      <alignment vertical="center"/>
    </xf>
    <xf numFmtId="4"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40" fontId="5" fillId="9" borderId="1" xfId="1" applyNumberFormat="1" applyFont="1" applyFill="1" applyBorder="1" applyAlignment="1">
      <alignment horizontal="center" vertical="center"/>
    </xf>
    <xf numFmtId="40" fontId="4" fillId="9" borderId="1" xfId="1" applyNumberFormat="1" applyFont="1" applyFill="1" applyBorder="1" applyAlignment="1">
      <alignment horizontal="center" vertical="center"/>
    </xf>
    <xf numFmtId="40" fontId="5" fillId="0" borderId="10" xfId="0" applyNumberFormat="1" applyFont="1" applyBorder="1" applyAlignment="1">
      <alignment horizontal="center" vertical="center"/>
    </xf>
    <xf numFmtId="0" fontId="4" fillId="0" borderId="5" xfId="0" applyFont="1" applyBorder="1" applyAlignment="1">
      <alignment horizontal="center" vertical="center"/>
    </xf>
    <xf numFmtId="164" fontId="8" fillId="0" borderId="1" xfId="0" applyNumberFormat="1" applyFont="1" applyBorder="1" applyAlignment="1">
      <alignment horizontal="center" vertical="center" wrapText="1"/>
    </xf>
    <xf numFmtId="40" fontId="5" fillId="0" borderId="10" xfId="0" applyNumberFormat="1" applyFont="1" applyBorder="1" applyAlignment="1">
      <alignment vertical="center"/>
    </xf>
    <xf numFmtId="39" fontId="5" fillId="0" borderId="10" xfId="0" applyNumberFormat="1" applyFont="1" applyBorder="1" applyAlignment="1">
      <alignment horizontal="center" vertical="center"/>
    </xf>
    <xf numFmtId="3" fontId="28" fillId="0" borderId="0" xfId="0" applyNumberFormat="1" applyFont="1" applyAlignment="1">
      <alignment horizontal="center" vertical="center"/>
    </xf>
    <xf numFmtId="0" fontId="29" fillId="0" borderId="0" xfId="0" applyFont="1" applyAlignment="1">
      <alignment vertical="center"/>
    </xf>
    <xf numFmtId="3" fontId="12" fillId="16" borderId="1" xfId="6" applyNumberFormat="1" applyFont="1" applyFill="1" applyBorder="1" applyAlignment="1">
      <alignment horizontal="center" vertical="center"/>
    </xf>
    <xf numFmtId="3" fontId="13" fillId="3" borderId="1" xfId="6" applyNumberFormat="1" applyFont="1" applyFill="1" applyBorder="1" applyAlignment="1">
      <alignment horizontal="center" vertical="center"/>
    </xf>
    <xf numFmtId="0" fontId="30" fillId="3" borderId="1" xfId="6" applyFont="1" applyFill="1" applyBorder="1" applyAlignment="1">
      <alignment horizontal="center" vertical="center"/>
    </xf>
    <xf numFmtId="3" fontId="0" fillId="17" borderId="1" xfId="6" applyNumberFormat="1" applyFont="1" applyFill="1" applyBorder="1" applyAlignment="1">
      <alignment horizontal="center" vertical="center"/>
    </xf>
    <xf numFmtId="3" fontId="13" fillId="13" borderId="1" xfId="6" applyNumberFormat="1" applyFont="1" applyFill="1" applyBorder="1" applyAlignment="1">
      <alignment horizontal="center" vertical="center"/>
    </xf>
    <xf numFmtId="3" fontId="13" fillId="18" borderId="1" xfId="6" applyNumberFormat="1" applyFont="1" applyFill="1" applyBorder="1" applyAlignment="1">
      <alignment horizontal="center" vertical="center"/>
    </xf>
    <xf numFmtId="3" fontId="13" fillId="5" borderId="1" xfId="6" applyNumberFormat="1" applyFont="1" applyFill="1" applyBorder="1" applyAlignment="1">
      <alignment horizontal="center" vertical="center"/>
    </xf>
    <xf numFmtId="3" fontId="13" fillId="2" borderId="1" xfId="6" applyNumberFormat="1" applyFont="1" applyFill="1" applyBorder="1" applyAlignment="1">
      <alignment horizontal="center" vertical="center"/>
    </xf>
    <xf numFmtId="37" fontId="13" fillId="3" borderId="1" xfId="6" applyNumberFormat="1" applyFont="1" applyFill="1" applyBorder="1" applyAlignment="1">
      <alignment horizontal="center" vertical="center"/>
    </xf>
    <xf numFmtId="37" fontId="13" fillId="14" borderId="1" xfId="6" applyNumberFormat="1" applyFont="1" applyFill="1" applyBorder="1" applyAlignment="1">
      <alignment horizontal="center" vertical="center"/>
    </xf>
    <xf numFmtId="38" fontId="13" fillId="15" borderId="1" xfId="6" applyNumberFormat="1" applyFont="1" applyFill="1" applyBorder="1" applyAlignment="1">
      <alignment horizontal="center" vertical="center"/>
    </xf>
    <xf numFmtId="37" fontId="13" fillId="15" borderId="1" xfId="6" applyNumberFormat="1" applyFont="1" applyFill="1" applyBorder="1" applyAlignment="1">
      <alignment horizontal="center" vertical="center"/>
    </xf>
    <xf numFmtId="37" fontId="13" fillId="2" borderId="1" xfId="6" applyNumberFormat="1" applyFont="1" applyFill="1" applyBorder="1" applyAlignment="1">
      <alignment horizontal="center" vertical="center"/>
    </xf>
    <xf numFmtId="0" fontId="30" fillId="14" borderId="1" xfId="6" applyFont="1" applyFill="1" applyBorder="1" applyAlignment="1">
      <alignment horizontal="center" vertical="center"/>
    </xf>
    <xf numFmtId="0" fontId="5" fillId="0" borderId="13" xfId="0" applyFont="1" applyBorder="1" applyAlignment="1">
      <alignment horizontal="center" vertical="center"/>
    </xf>
    <xf numFmtId="0" fontId="0" fillId="0" borderId="1" xfId="0" applyBorder="1" applyAlignment="1">
      <alignment horizontal="center" vertical="center" wrapText="1"/>
    </xf>
    <xf numFmtId="4" fontId="8" fillId="0" borderId="1" xfId="0" applyNumberFormat="1" applyFont="1" applyBorder="1" applyAlignment="1">
      <alignment horizontal="right" vertical="center" wrapText="1"/>
    </xf>
    <xf numFmtId="0" fontId="5" fillId="0" borderId="11" xfId="0" applyFont="1" applyBorder="1" applyAlignment="1">
      <alignment horizontal="center" vertical="center"/>
    </xf>
    <xf numFmtId="40" fontId="5" fillId="0" borderId="17" xfId="1" applyNumberFormat="1" applyFont="1" applyFill="1" applyBorder="1" applyAlignment="1">
      <alignment horizontal="center" vertical="center"/>
    </xf>
    <xf numFmtId="164" fontId="5" fillId="0" borderId="17" xfId="1" applyNumberFormat="1" applyFont="1" applyFill="1" applyBorder="1" applyAlignment="1">
      <alignment horizontal="center" vertical="center"/>
    </xf>
    <xf numFmtId="0" fontId="5" fillId="0" borderId="17" xfId="0" applyFont="1" applyBorder="1" applyAlignment="1">
      <alignment vertical="center"/>
    </xf>
    <xf numFmtId="4" fontId="5" fillId="0" borderId="17" xfId="0" applyNumberFormat="1" applyFont="1" applyBorder="1" applyAlignment="1">
      <alignment vertical="center"/>
    </xf>
    <xf numFmtId="3" fontId="5" fillId="0" borderId="17" xfId="0" applyNumberFormat="1" applyFont="1" applyBorder="1" applyAlignment="1">
      <alignment vertical="center"/>
    </xf>
    <xf numFmtId="39" fontId="5" fillId="0" borderId="11" xfId="0" applyNumberFormat="1" applyFont="1" applyBorder="1" applyAlignment="1">
      <alignment horizontal="center" vertical="center"/>
    </xf>
    <xf numFmtId="39" fontId="4" fillId="9" borderId="1" xfId="0" applyNumberFormat="1" applyFont="1" applyFill="1" applyBorder="1" applyAlignment="1">
      <alignment horizontal="center" vertical="center"/>
    </xf>
    <xf numFmtId="0" fontId="32" fillId="10" borderId="1" xfId="6" applyFont="1" applyFill="1" applyBorder="1" applyAlignment="1">
      <alignment horizontal="center" vertical="center"/>
    </xf>
    <xf numFmtId="0" fontId="32" fillId="9" borderId="1" xfId="6" applyFont="1" applyFill="1" applyBorder="1" applyAlignment="1">
      <alignment horizontal="center" vertical="center"/>
    </xf>
    <xf numFmtId="0" fontId="13" fillId="0" borderId="1" xfId="0" applyFont="1" applyBorder="1" applyAlignment="1">
      <alignment horizontal="center" vertical="center" wrapText="1"/>
    </xf>
    <xf numFmtId="0" fontId="8" fillId="0" borderId="0" xfId="0" applyFont="1" applyAlignment="1">
      <alignment horizontal="center" vertical="center" wrapText="1"/>
    </xf>
    <xf numFmtId="3" fontId="8" fillId="0" borderId="0" xfId="0" applyNumberFormat="1" applyFont="1" applyAlignment="1">
      <alignment horizontal="center" vertical="center" wrapText="1"/>
    </xf>
    <xf numFmtId="0" fontId="8" fillId="0" borderId="0" xfId="0" applyFont="1" applyAlignment="1">
      <alignment horizontal="right" vertical="center" wrapText="1"/>
    </xf>
    <xf numFmtId="0" fontId="8" fillId="7" borderId="1" xfId="0" applyFont="1" applyFill="1" applyBorder="1" applyAlignment="1">
      <alignment horizontal="center" vertical="center" wrapText="1"/>
    </xf>
    <xf numFmtId="4" fontId="8" fillId="0" borderId="0" xfId="0" applyNumberFormat="1" applyFont="1" applyAlignment="1">
      <alignment horizontal="right" vertical="center" wrapText="1"/>
    </xf>
    <xf numFmtId="0" fontId="8" fillId="8" borderId="1" xfId="0" applyFont="1" applyFill="1" applyBorder="1" applyAlignment="1">
      <alignment horizontal="center" vertical="center" wrapText="1"/>
    </xf>
    <xf numFmtId="4" fontId="8" fillId="0" borderId="0" xfId="0" applyNumberFormat="1" applyFont="1" applyAlignment="1">
      <alignment horizontal="center" vertical="center" wrapText="1"/>
    </xf>
    <xf numFmtId="0" fontId="24" fillId="7" borderId="0" xfId="0" applyFont="1" applyFill="1" applyAlignment="1">
      <alignment horizontal="center" vertical="center" wrapText="1"/>
    </xf>
    <xf numFmtId="0" fontId="24" fillId="0" borderId="0" xfId="0" applyFont="1" applyAlignment="1">
      <alignment horizontal="center" vertical="center" wrapText="1"/>
    </xf>
    <xf numFmtId="0" fontId="8" fillId="7" borderId="0" xfId="0" applyFont="1" applyFill="1" applyAlignment="1">
      <alignment horizontal="center" vertical="center" wrapText="1"/>
    </xf>
    <xf numFmtId="0" fontId="23" fillId="8" borderId="0" xfId="0" applyFont="1" applyFill="1" applyAlignment="1">
      <alignment horizontal="center" vertical="center" wrapText="1"/>
    </xf>
    <xf numFmtId="0" fontId="23" fillId="0" borderId="0" xfId="0" applyFont="1" applyAlignment="1">
      <alignment horizontal="center" vertical="center" wrapText="1"/>
    </xf>
    <xf numFmtId="0" fontId="8" fillId="0" borderId="1" xfId="0" applyFont="1" applyBorder="1" applyAlignment="1">
      <alignment horizontal="center" vertical="center" wrapText="1"/>
    </xf>
    <xf numFmtId="0" fontId="25"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4" fontId="8" fillId="9" borderId="1" xfId="0" applyNumberFormat="1" applyFont="1" applyFill="1" applyBorder="1" applyAlignment="1">
      <alignment horizontal="center" vertical="center" wrapText="1"/>
    </xf>
    <xf numFmtId="1" fontId="8" fillId="0" borderId="1" xfId="0" applyNumberFormat="1" applyFont="1" applyBorder="1" applyAlignment="1">
      <alignment horizontal="center" vertical="center" wrapText="1"/>
    </xf>
    <xf numFmtId="165" fontId="8" fillId="9" borderId="1" xfId="0" applyNumberFormat="1" applyFont="1" applyFill="1" applyBorder="1" applyAlignment="1">
      <alignment horizontal="center" vertical="center" wrapText="1"/>
    </xf>
    <xf numFmtId="4" fontId="26" fillId="0" borderId="1" xfId="0" applyNumberFormat="1" applyFont="1" applyBorder="1" applyAlignment="1">
      <alignment horizontal="center" vertical="center" wrapText="1"/>
    </xf>
    <xf numFmtId="3" fontId="8" fillId="4" borderId="1" xfId="0" applyNumberFormat="1" applyFont="1" applyFill="1" applyBorder="1" applyAlignment="1">
      <alignment horizontal="center" vertical="center" wrapText="1"/>
    </xf>
    <xf numFmtId="4" fontId="8" fillId="4" borderId="1" xfId="0" applyNumberFormat="1" applyFont="1" applyFill="1" applyBorder="1" applyAlignment="1">
      <alignment horizontal="center" vertical="center" wrapText="1"/>
    </xf>
    <xf numFmtId="10" fontId="8" fillId="0" borderId="1" xfId="4" applyNumberFormat="1" applyFont="1" applyFill="1" applyBorder="1" applyAlignment="1">
      <alignment horizontal="center" vertical="center" wrapText="1"/>
    </xf>
    <xf numFmtId="37" fontId="8" fillId="4" borderId="1" xfId="0" applyNumberFormat="1" applyFont="1" applyFill="1" applyBorder="1" applyAlignment="1">
      <alignment horizontal="center" vertical="center" wrapText="1"/>
    </xf>
    <xf numFmtId="39" fontId="8" fillId="4" borderId="1" xfId="0" applyNumberFormat="1" applyFont="1" applyFill="1" applyBorder="1" applyAlignment="1">
      <alignment horizontal="center" vertical="center" wrapText="1"/>
    </xf>
    <xf numFmtId="166" fontId="8" fillId="0" borderId="1" xfId="0" applyNumberFormat="1" applyFont="1" applyBorder="1" applyAlignment="1">
      <alignment horizontal="center" vertical="center" wrapText="1"/>
    </xf>
    <xf numFmtId="37" fontId="8"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xf>
    <xf numFmtId="4" fontId="8" fillId="0" borderId="1" xfId="0" applyNumberFormat="1" applyFont="1" applyBorder="1" applyAlignment="1">
      <alignment horizontal="right" vertical="center"/>
    </xf>
    <xf numFmtId="3"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25" fillId="0" borderId="1" xfId="0" applyFont="1" applyBorder="1" applyAlignment="1">
      <alignment horizontal="center" vertical="center"/>
    </xf>
    <xf numFmtId="1" fontId="8" fillId="0" borderId="1" xfId="0" applyNumberFormat="1" applyFont="1" applyBorder="1" applyAlignment="1">
      <alignment horizontal="center" vertical="center"/>
    </xf>
    <xf numFmtId="4" fontId="8" fillId="9" borderId="1" xfId="0" applyNumberFormat="1" applyFont="1" applyFill="1" applyBorder="1" applyAlignment="1">
      <alignment horizontal="center" vertical="center"/>
    </xf>
    <xf numFmtId="0" fontId="8" fillId="0" borderId="0" xfId="0" applyFont="1" applyAlignment="1">
      <alignment horizontal="center" vertical="center"/>
    </xf>
    <xf numFmtId="9" fontId="8" fillId="0" borderId="1" xfId="0" applyNumberFormat="1" applyFont="1" applyBorder="1" applyAlignment="1">
      <alignment horizontal="center" vertical="center"/>
    </xf>
    <xf numFmtId="165" fontId="8" fillId="9" borderId="1" xfId="0" applyNumberFormat="1" applyFont="1" applyFill="1" applyBorder="1" applyAlignment="1">
      <alignment horizontal="center" vertical="center"/>
    </xf>
    <xf numFmtId="4" fontId="5" fillId="0" borderId="10" xfId="0" applyNumberFormat="1" applyFont="1" applyBorder="1" applyAlignment="1">
      <alignment vertical="center"/>
    </xf>
    <xf numFmtId="3" fontId="5" fillId="0" borderId="12" xfId="0" applyNumberFormat="1" applyFont="1" applyBorder="1" applyAlignment="1">
      <alignment horizontal="center" vertical="center"/>
    </xf>
    <xf numFmtId="39" fontId="8" fillId="0" borderId="1" xfId="0" applyNumberFormat="1" applyFont="1" applyBorder="1" applyAlignment="1">
      <alignment horizontal="center" vertical="center" wrapText="1"/>
    </xf>
    <xf numFmtId="37" fontId="5" fillId="0" borderId="10" xfId="0" applyNumberFormat="1"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164" fontId="35" fillId="0" borderId="14" xfId="1" applyNumberFormat="1" applyFont="1" applyFill="1" applyBorder="1" applyAlignment="1">
      <alignment horizontal="center" vertical="center"/>
    </xf>
    <xf numFmtId="39" fontId="35" fillId="0" borderId="10" xfId="0" applyNumberFormat="1" applyFont="1" applyBorder="1" applyAlignment="1">
      <alignment horizontal="center" vertical="center"/>
    </xf>
    <xf numFmtId="167" fontId="8" fillId="0" borderId="1" xfId="0" applyNumberFormat="1" applyFont="1" applyBorder="1" applyAlignment="1">
      <alignment horizontal="center" vertical="center" wrapText="1"/>
    </xf>
    <xf numFmtId="167" fontId="8" fillId="0" borderId="1" xfId="0" applyNumberFormat="1" applyFont="1" applyBorder="1" applyAlignment="1">
      <alignment horizontal="center" vertical="center"/>
    </xf>
    <xf numFmtId="0" fontId="18" fillId="2" borderId="1" xfId="6" applyFont="1" applyFill="1" applyBorder="1" applyAlignment="1">
      <alignment horizontal="center" vertical="center" wrapText="1"/>
    </xf>
    <xf numFmtId="0" fontId="8" fillId="0" borderId="0" xfId="0" applyFont="1" applyAlignment="1">
      <alignment wrapText="1"/>
    </xf>
    <xf numFmtId="4" fontId="8" fillId="0" borderId="1" xfId="0" applyNumberFormat="1" applyFont="1" applyFill="1" applyBorder="1" applyAlignment="1">
      <alignment horizontal="center" vertical="center" wrapText="1"/>
    </xf>
    <xf numFmtId="0" fontId="8" fillId="0" borderId="0" xfId="0" applyFont="1" applyAlignment="1">
      <alignment horizontal="right" vertical="center"/>
    </xf>
    <xf numFmtId="39" fontId="4" fillId="9" borderId="1" xfId="0" applyNumberFormat="1" applyFont="1" applyFill="1" applyBorder="1" applyAlignment="1">
      <alignment horizontal="center" vertical="center"/>
    </xf>
    <xf numFmtId="0" fontId="36" fillId="0" borderId="1" xfId="0" applyFont="1" applyBorder="1" applyAlignment="1">
      <alignment horizontal="center" vertical="center"/>
    </xf>
    <xf numFmtId="168" fontId="5" fillId="0" borderId="11" xfId="0" applyNumberFormat="1" applyFont="1" applyBorder="1" applyAlignment="1">
      <alignment vertical="center"/>
    </xf>
    <xf numFmtId="169" fontId="5" fillId="0" borderId="11" xfId="0" applyNumberFormat="1" applyFont="1" applyBorder="1" applyAlignment="1">
      <alignment vertical="center"/>
    </xf>
    <xf numFmtId="0" fontId="14" fillId="2" borderId="1" xfId="6" applyFont="1" applyFill="1" applyBorder="1" applyAlignment="1">
      <alignment horizontal="center" vertical="center" wrapText="1"/>
    </xf>
    <xf numFmtId="0" fontId="27" fillId="11" borderId="0" xfId="6" applyFont="1" applyFill="1" applyAlignment="1">
      <alignment horizontal="center" vertical="center" wrapText="1"/>
    </xf>
    <xf numFmtId="3" fontId="14" fillId="2" borderId="1" xfId="6" applyNumberFormat="1" applyFont="1" applyFill="1" applyBorder="1" applyAlignment="1">
      <alignment horizontal="center" vertical="center" wrapText="1"/>
    </xf>
    <xf numFmtId="0" fontId="27" fillId="12" borderId="1" xfId="0" applyFont="1" applyFill="1" applyBorder="1" applyAlignment="1">
      <alignment horizontal="center" vertical="center" wrapText="1"/>
    </xf>
    <xf numFmtId="3" fontId="12" fillId="21" borderId="1" xfId="6" applyNumberFormat="1" applyFont="1" applyFill="1" applyBorder="1" applyAlignment="1">
      <alignment horizontal="center" vertical="center"/>
    </xf>
    <xf numFmtId="3" fontId="12" fillId="22" borderId="1" xfId="6" applyNumberFormat="1" applyFont="1" applyFill="1" applyBorder="1" applyAlignment="1">
      <alignment horizontal="center" vertical="center"/>
    </xf>
    <xf numFmtId="3" fontId="13" fillId="0" borderId="1" xfId="6" applyNumberFormat="1" applyFont="1" applyFill="1" applyBorder="1" applyAlignment="1">
      <alignment horizontal="center" vertical="center"/>
    </xf>
    <xf numFmtId="0" fontId="30" fillId="0" borderId="1" xfId="6" applyFont="1" applyFill="1" applyBorder="1" applyAlignment="1">
      <alignment horizontal="center" vertical="center"/>
    </xf>
    <xf numFmtId="37" fontId="13" fillId="0" borderId="1" xfId="6" applyNumberFormat="1" applyFont="1" applyFill="1" applyBorder="1" applyAlignment="1">
      <alignment horizontal="center" vertical="center"/>
    </xf>
    <xf numFmtId="0" fontId="19" fillId="3" borderId="1" xfId="6" applyFont="1" applyFill="1" applyBorder="1" applyAlignment="1">
      <alignment horizontal="center" vertical="center"/>
    </xf>
    <xf numFmtId="3" fontId="20" fillId="0" borderId="1" xfId="6" applyNumberFormat="1" applyFont="1" applyFill="1" applyBorder="1" applyAlignment="1">
      <alignment horizontal="center" vertical="center"/>
    </xf>
    <xf numFmtId="0" fontId="8" fillId="0" borderId="1" xfId="0" applyFont="1" applyBorder="1" applyAlignment="1">
      <alignment horizontal="center" vertical="center" wrapText="1"/>
    </xf>
    <xf numFmtId="0" fontId="37" fillId="0" borderId="1" xfId="6" applyFont="1" applyBorder="1" applyAlignment="1">
      <alignment horizontal="center" vertical="center"/>
    </xf>
    <xf numFmtId="0" fontId="19" fillId="0" borderId="1" xfId="6" applyFont="1" applyFill="1" applyBorder="1" applyAlignment="1">
      <alignment horizontal="center" vertical="center"/>
    </xf>
    <xf numFmtId="0" fontId="37" fillId="0" borderId="1" xfId="6" applyFont="1" applyFill="1" applyBorder="1" applyAlignment="1">
      <alignment horizontal="center" vertical="center"/>
    </xf>
    <xf numFmtId="0" fontId="37" fillId="3" borderId="1" xfId="6" applyFont="1" applyFill="1" applyBorder="1" applyAlignment="1">
      <alignment horizontal="center" vertical="center"/>
    </xf>
    <xf numFmtId="0" fontId="38" fillId="10" borderId="1" xfId="6" applyFont="1" applyFill="1" applyBorder="1" applyAlignment="1">
      <alignment horizontal="center" vertical="center"/>
    </xf>
    <xf numFmtId="0" fontId="5" fillId="0" borderId="17" xfId="0" applyFont="1" applyBorder="1" applyAlignment="1">
      <alignment horizontal="center" vertical="center"/>
    </xf>
    <xf numFmtId="0" fontId="8" fillId="0" borderId="1" xfId="0" applyFont="1" applyBorder="1" applyAlignment="1">
      <alignment horizontal="center" vertical="center" wrapText="1"/>
    </xf>
    <xf numFmtId="170" fontId="8" fillId="0" borderId="1" xfId="0" applyNumberFormat="1" applyFont="1" applyBorder="1" applyAlignment="1">
      <alignment horizontal="center" vertical="center" wrapText="1"/>
    </xf>
    <xf numFmtId="39" fontId="5" fillId="0" borderId="10" xfId="0" applyNumberFormat="1" applyFont="1" applyBorder="1" applyAlignment="1">
      <alignment vertical="center"/>
    </xf>
    <xf numFmtId="4" fontId="8" fillId="0" borderId="0" xfId="0" applyNumberFormat="1" applyFont="1"/>
    <xf numFmtId="4" fontId="19" fillId="0" borderId="1" xfId="6" applyNumberFormat="1" applyFont="1" applyFill="1" applyBorder="1" applyAlignment="1">
      <alignment horizontal="center" vertical="center"/>
    </xf>
    <xf numFmtId="0" fontId="41" fillId="0" borderId="1" xfId="0" applyFont="1" applyBorder="1" applyAlignment="1">
      <alignment horizontal="center" vertical="center" wrapText="1"/>
    </xf>
    <xf numFmtId="0" fontId="25"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4" fontId="17" fillId="20" borderId="5" xfId="1" applyNumberFormat="1" applyFont="1" applyFill="1" applyBorder="1" applyAlignment="1">
      <alignment horizontal="center" vertical="center"/>
    </xf>
    <xf numFmtId="4" fontId="17" fillId="20" borderId="6" xfId="1" applyNumberFormat="1" applyFont="1" applyFill="1" applyBorder="1" applyAlignment="1">
      <alignment horizontal="center" vertical="center"/>
    </xf>
    <xf numFmtId="39" fontId="4" fillId="6" borderId="1" xfId="1" applyNumberFormat="1"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39" fontId="4" fillId="19" borderId="1" xfId="0" applyNumberFormat="1" applyFont="1" applyFill="1" applyBorder="1" applyAlignment="1">
      <alignment horizontal="center" vertical="center"/>
    </xf>
    <xf numFmtId="39" fontId="4" fillId="9" borderId="1" xfId="0" applyNumberFormat="1" applyFont="1" applyFill="1" applyBorder="1" applyAlignment="1">
      <alignment horizontal="center" vertical="center"/>
    </xf>
    <xf numFmtId="0" fontId="4" fillId="9" borderId="5" xfId="0" applyFont="1" applyFill="1" applyBorder="1" applyAlignment="1">
      <alignment horizontal="center" vertical="center"/>
    </xf>
    <xf numFmtId="0" fontId="4" fillId="9" borderId="6" xfId="0" applyFont="1" applyFill="1" applyBorder="1" applyAlignment="1">
      <alignment horizontal="center" vertical="center"/>
    </xf>
    <xf numFmtId="39" fontId="17" fillId="20" borderId="5" xfId="1" applyNumberFormat="1" applyFont="1" applyFill="1" applyBorder="1" applyAlignment="1">
      <alignment horizontal="center" vertical="center"/>
    </xf>
    <xf numFmtId="39" fontId="17" fillId="20" borderId="6" xfId="1" applyNumberFormat="1" applyFont="1" applyFill="1" applyBorder="1" applyAlignment="1">
      <alignment horizontal="center" vertical="center"/>
    </xf>
    <xf numFmtId="0" fontId="31" fillId="20" borderId="9" xfId="0" applyFont="1" applyFill="1" applyBorder="1" applyAlignment="1">
      <alignment horizontal="center" vertical="center" wrapText="1"/>
    </xf>
    <xf numFmtId="0" fontId="31" fillId="20" borderId="8" xfId="0" applyFont="1" applyFill="1" applyBorder="1" applyAlignment="1">
      <alignment horizontal="center" vertical="center" wrapText="1"/>
    </xf>
    <xf numFmtId="0" fontId="31" fillId="20" borderId="7" xfId="0" applyFont="1" applyFill="1" applyBorder="1" applyAlignment="1">
      <alignment horizontal="center" vertical="center" wrapText="1"/>
    </xf>
    <xf numFmtId="164" fontId="6" fillId="9" borderId="9" xfId="1" applyNumberFormat="1" applyFont="1" applyFill="1" applyBorder="1" applyAlignment="1">
      <alignment horizontal="center" vertical="center"/>
    </xf>
    <xf numFmtId="164" fontId="6" fillId="9" borderId="8" xfId="1" applyNumberFormat="1" applyFont="1" applyFill="1" applyBorder="1" applyAlignment="1">
      <alignment horizontal="center" vertical="center"/>
    </xf>
    <xf numFmtId="164" fontId="6" fillId="9" borderId="7" xfId="1" applyNumberFormat="1" applyFont="1" applyFill="1" applyBorder="1" applyAlignment="1">
      <alignment horizontal="center" vertical="center"/>
    </xf>
    <xf numFmtId="0" fontId="6" fillId="19" borderId="9" xfId="0" applyFont="1" applyFill="1" applyBorder="1" applyAlignment="1">
      <alignment horizontal="center" vertical="center"/>
    </xf>
    <xf numFmtId="0" fontId="6" fillId="19" borderId="8" xfId="0" applyFont="1" applyFill="1" applyBorder="1" applyAlignment="1">
      <alignment horizontal="center" vertical="center"/>
    </xf>
    <xf numFmtId="0" fontId="6" fillId="19" borderId="7" xfId="0" applyFont="1" applyFill="1" applyBorder="1" applyAlignment="1">
      <alignment horizontal="center" vertical="center"/>
    </xf>
    <xf numFmtId="0" fontId="6" fillId="6" borderId="9"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4" fillId="19" borderId="5" xfId="0" applyFont="1" applyFill="1" applyBorder="1" applyAlignment="1">
      <alignment horizontal="center" vertical="center"/>
    </xf>
    <xf numFmtId="0" fontId="4" fillId="19" borderId="6" xfId="0" applyFont="1" applyFill="1" applyBorder="1" applyAlignment="1">
      <alignment horizontal="center" vertical="center"/>
    </xf>
    <xf numFmtId="0" fontId="17" fillId="20" borderId="5" xfId="0" applyFont="1" applyFill="1" applyBorder="1" applyAlignment="1">
      <alignment horizontal="center" vertical="center"/>
    </xf>
    <xf numFmtId="0" fontId="17" fillId="20" borderId="6" xfId="0" applyFont="1" applyFill="1" applyBorder="1" applyAlignment="1">
      <alignment horizontal="center" vertical="center"/>
    </xf>
    <xf numFmtId="0" fontId="2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18" xfId="0" applyFont="1" applyBorder="1" applyAlignment="1">
      <alignment horizontal="center" vertical="center"/>
    </xf>
    <xf numFmtId="0" fontId="2" fillId="0" borderId="6" xfId="0" applyFont="1" applyBorder="1" applyAlignment="1">
      <alignment horizontal="center" vertical="center"/>
    </xf>
  </cellXfs>
  <cellStyles count="10">
    <cellStyle name="Comma" xfId="1" builtinId="3"/>
    <cellStyle name="Comma 2" xfId="3" xr:uid="{2C354329-E1A5-407B-A095-BE6219B3B2DE}"/>
    <cellStyle name="Normal" xfId="0" builtinId="0"/>
    <cellStyle name="Normal 2" xfId="2" xr:uid="{240A8FD8-B9B5-44B1-92E2-683A1DFDF2DE}"/>
    <cellStyle name="Normal 2 2" xfId="5" xr:uid="{C6B51A6C-0E52-43E4-A16C-766F12E0DBCF}"/>
    <cellStyle name="Normal 3" xfId="6" xr:uid="{F174E7C5-F3A9-452C-B291-D2CFE41581DA}"/>
    <cellStyle name="Normal 5" xfId="7" xr:uid="{B953B428-CA05-4644-85B5-94A7DF71690D}"/>
    <cellStyle name="Normal 5 2" xfId="9" xr:uid="{435DB092-6F18-4DBC-94DA-121AA19A2714}"/>
    <cellStyle name="Percent" xfId="4" builtinId="5"/>
    <cellStyle name="Percent 2" xfId="8" xr:uid="{4713E80F-397F-409E-A2D4-65E5E56C46E2}"/>
  </cellStyles>
  <dxfs count="81">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theme="5" tint="0.59996337778862885"/>
        </patternFill>
      </fill>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numFmt numFmtId="6" formatCode="#,##0_);[Red]\(#,##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4"/>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4"/>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theme="0"/>
        </top>
      </border>
    </dxf>
    <dxf>
      <font>
        <b val="0"/>
        <i val="0"/>
        <strike val="0"/>
        <condense val="0"/>
        <extend val="0"/>
        <outline val="0"/>
        <shadow val="0"/>
        <u val="none"/>
        <vertAlign val="baseline"/>
        <sz val="14"/>
        <color theme="1"/>
        <name val="B Nazanin"/>
        <charset val="178"/>
        <scheme val="none"/>
      </font>
      <alignment horizontal="general" vertical="center" textRotation="0" wrapText="0" indent="0" justifyLastLine="0" shrinkToFit="0" readingOrder="0"/>
      <border diagonalUp="0" diagonalDown="0" outline="0">
        <left style="thin">
          <color theme="0"/>
        </left>
        <right style="thin">
          <color theme="0"/>
        </right>
        <top/>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4"/>
        <color theme="1"/>
        <name val="B Nazanin"/>
        <charset val="178"/>
        <scheme val="none"/>
      </font>
      <fill>
        <patternFill patternType="none">
          <fgColor indexed="64"/>
          <bgColor indexed="65"/>
        </patternFill>
      </fill>
      <alignment horizontal="center" vertical="center" textRotation="0" wrapText="0" indent="0" justifyLastLine="0" shrinkToFit="0" readingOrder="0"/>
    </dxf>
    <dxf>
      <border outline="0">
        <bottom style="thin">
          <color auto="1"/>
        </bottom>
      </border>
    </dxf>
    <dxf>
      <font>
        <b val="0"/>
        <i val="0"/>
        <strike val="0"/>
        <condense val="0"/>
        <extend val="0"/>
        <outline val="0"/>
        <shadow val="0"/>
        <u val="none"/>
        <vertAlign val="baseline"/>
        <sz val="14"/>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DDFFDD"/>
      <color rgb="FFFFD5FF"/>
      <color rgb="FF006600"/>
      <color rgb="FF3333CC"/>
      <color rgb="FF660066"/>
      <color rgb="FFFFEEB7"/>
      <color rgb="FF93E3FF"/>
      <color rgb="FF81DEFF"/>
      <color rgb="FFCCFFCC"/>
      <color rgb="FFFFD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4</xdr:col>
      <xdr:colOff>208684</xdr:colOff>
      <xdr:row>0</xdr:row>
      <xdr:rowOff>174914</xdr:rowOff>
    </xdr:from>
    <xdr:to>
      <xdr:col>6</xdr:col>
      <xdr:colOff>288348</xdr:colOff>
      <xdr:row>9</xdr:row>
      <xdr:rowOff>127289</xdr:rowOff>
    </xdr:to>
    <mc:AlternateContent xmlns:mc="http://schemas.openxmlformats.org/markup-compatibility/2006" xmlns:sle15="http://schemas.microsoft.com/office/drawing/2012/slicer">
      <mc:Choice Requires="sle15">
        <xdr:graphicFrame macro="">
          <xdr:nvGraphicFramePr>
            <xdr:cNvPr id="2" name="کد پروژه">
              <a:extLst>
                <a:ext uri="{FF2B5EF4-FFF2-40B4-BE49-F238E27FC236}">
                  <a16:creationId xmlns:a16="http://schemas.microsoft.com/office/drawing/2014/main" id="{7ECE04A6-2312-F6BF-5F6F-B392F98C7F1A}"/>
                </a:ext>
              </a:extLst>
            </xdr:cNvPr>
            <xdr:cNvGraphicFramePr/>
          </xdr:nvGraphicFramePr>
          <xdr:xfrm>
            <a:off x="0" y="0"/>
            <a:ext cx="0" cy="0"/>
          </xdr:xfrm>
          <a:graphic>
            <a:graphicData uri="http://schemas.microsoft.com/office/drawing/2010/slicer">
              <sle:slicer xmlns:sle="http://schemas.microsoft.com/office/drawing/2010/slicer" name="کد پروژه"/>
            </a:graphicData>
          </a:graphic>
        </xdr:graphicFrame>
      </mc:Choice>
      <mc:Fallback xmlns="">
        <xdr:sp macro="" textlink="">
          <xdr:nvSpPr>
            <xdr:cNvPr id="0" name=""/>
            <xdr:cNvSpPr>
              <a:spLocks noTextEdit="1"/>
            </xdr:cNvSpPr>
          </xdr:nvSpPr>
          <xdr:spPr>
            <a:xfrm>
              <a:off x="9941213925" y="1749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381866</xdr:colOff>
      <xdr:row>0</xdr:row>
      <xdr:rowOff>174913</xdr:rowOff>
    </xdr:from>
    <xdr:to>
      <xdr:col>8</xdr:col>
      <xdr:colOff>262371</xdr:colOff>
      <xdr:row>9</xdr:row>
      <xdr:rowOff>127288</xdr:rowOff>
    </xdr:to>
    <mc:AlternateContent xmlns:mc="http://schemas.openxmlformats.org/markup-compatibility/2006" xmlns:sle15="http://schemas.microsoft.com/office/drawing/2012/slicer">
      <mc:Choice Requires="sle15">
        <xdr:graphicFrame macro="">
          <xdr:nvGraphicFramePr>
            <xdr:cNvPr id="3" name="ارز">
              <a:extLst>
                <a:ext uri="{FF2B5EF4-FFF2-40B4-BE49-F238E27FC236}">
                  <a16:creationId xmlns:a16="http://schemas.microsoft.com/office/drawing/2014/main" id="{86A052D3-B18E-9FBB-2CCA-A5C937604776}"/>
                </a:ext>
              </a:extLst>
            </xdr:cNvPr>
            <xdr:cNvGraphicFramePr/>
          </xdr:nvGraphicFramePr>
          <xdr:xfrm>
            <a:off x="0" y="0"/>
            <a:ext cx="0" cy="0"/>
          </xdr:xfrm>
          <a:graphic>
            <a:graphicData uri="http://schemas.microsoft.com/office/drawing/2010/slicer">
              <sle:slicer xmlns:sle="http://schemas.microsoft.com/office/drawing/2010/slicer" name="ارز"/>
            </a:graphicData>
          </a:graphic>
        </xdr:graphicFrame>
      </mc:Choice>
      <mc:Fallback xmlns="">
        <xdr:sp macro="" textlink="">
          <xdr:nvSpPr>
            <xdr:cNvPr id="0" name=""/>
            <xdr:cNvSpPr>
              <a:spLocks noTextEdit="1"/>
            </xdr:cNvSpPr>
          </xdr:nvSpPr>
          <xdr:spPr>
            <a:xfrm>
              <a:off x="9939291607" y="1749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576;&#1608;&#1583;&#1580;&#160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ودجه"/>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کد_پروژه" xr10:uid="{AF143349-237C-42BA-A9B8-070F63C87E1D}" sourceName="کد پروژه">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رز" xr10:uid="{D76726D3-19FF-475F-ADA9-8D333F02ECE4}" sourceName="ارز">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کد پروژه" xr10:uid="{71F3F2A6-2CAA-41B2-9B2D-FC3062770834}" cache="Slicer_کد_پروژه" caption="کد پروژه" rowHeight="241300"/>
  <slicer name="ارز" xr10:uid="{F1697AED-4B1D-4B3D-9ADF-E18C15BB055D}" cache="Slicer_ارز" caption="ارز"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955979-3CBB-4933-82EA-6001075252A0}" name="Table2" displayName="Table2" ref="B18:K30" totalsRowShown="0" headerRowDxfId="80" dataDxfId="78" totalsRowDxfId="76" headerRowBorderDxfId="79" tableBorderDxfId="77" totalsRowBorderDxfId="75" dataCellStyle="Comma">
  <autoFilter ref="B18:K30" xr:uid="{78955979-3CBB-4933-82EA-6001075252A0}">
    <filterColumn colId="1">
      <filters>
        <filter val="AED"/>
      </filters>
    </filterColumn>
  </autoFilter>
  <tableColumns count="10">
    <tableColumn id="1" xr3:uid="{7E390F1F-C8ED-420C-BDB3-DA42ABD9B99F}" name="کد پروژه" dataDxfId="74" totalsRowDxfId="73"/>
    <tableColumn id="2" xr3:uid="{D18B1928-CD84-4477-9F22-C31988393928}" name="ارز" dataDxfId="72" totalsRowDxfId="71"/>
    <tableColumn id="3" xr3:uid="{E7F42C6B-DCA1-46D6-AE6A-4C433EAB8A94}" name="تولید" dataDxfId="70" totalsRowDxfId="69" dataCellStyle="Comma"/>
    <tableColumn id="4" xr3:uid="{D98CFA96-C527-41ED-9413-BB89E1004243}" name="تامین" dataDxfId="68" totalsRowDxfId="67" dataCellStyle="Comma"/>
    <tableColumn id="5" xr3:uid="{E7A077BD-63AF-487F-AC1C-8A94FCAFCC73}" name="نصب" dataDxfId="66" totalsRowDxfId="65" dataCellStyle="Comma"/>
    <tableColumn id="6" xr3:uid="{FE45537B-77FD-4324-85DA-C519A07094D3}" name="راه اندازی" dataDxfId="64" totalsRowDxfId="63" dataCellStyle="Comma"/>
    <tableColumn id="7" xr3:uid="{A5F749C4-AF47-4394-A933-6D47DAB46404}" name="مکانیکال" dataDxfId="62" totalsRowDxfId="61" dataCellStyle="Comma"/>
    <tableColumn id="8" xr3:uid="{ADD77083-4F0B-4AB7-8438-E4B9BB090713}" name="مهندسی" dataDxfId="60" totalsRowDxfId="59" dataCellStyle="Comma"/>
    <tableColumn id="9" xr3:uid="{3AF0E755-A645-4385-A898-F06634EB6E7C}" name="مدیریت" dataDxfId="58" totalsRowDxfId="57" dataCellStyle="Comma"/>
    <tableColumn id="10" xr3:uid="{F6AE6F5C-E15A-4D15-8217-6D59F7213465}" name="جمع" dataDxfId="56" totalsRowDxfId="5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71A4-6CBF-4DE7-9962-1EAB6C93C4E6}">
  <dimension ref="A1:M53"/>
  <sheetViews>
    <sheetView rightToLeft="1" tabSelected="1" zoomScale="110" zoomScaleNormal="110" workbookViewId="0">
      <selection activeCell="D1" sqref="D1"/>
    </sheetView>
  </sheetViews>
  <sheetFormatPr defaultColWidth="9.140625" defaultRowHeight="22.5"/>
  <cols>
    <col min="1" max="1" width="9.140625" style="4"/>
    <col min="2" max="2" width="14" style="5" bestFit="1" customWidth="1"/>
    <col min="3" max="3" width="7.140625" style="5" customWidth="1"/>
    <col min="4" max="4" width="13.42578125" style="4" bestFit="1" customWidth="1"/>
    <col min="5" max="5" width="13" style="4" bestFit="1" customWidth="1"/>
    <col min="6" max="6" width="13.28515625" style="4" bestFit="1" customWidth="1"/>
    <col min="7" max="7" width="15" style="4" bestFit="1" customWidth="1"/>
    <col min="8" max="9" width="14.140625" style="4" bestFit="1" customWidth="1"/>
    <col min="10" max="10" width="13.42578125" style="4" bestFit="1" customWidth="1"/>
    <col min="11" max="11" width="14.7109375" style="4" bestFit="1" customWidth="1"/>
    <col min="12" max="12" width="17.28515625" style="4" bestFit="1" customWidth="1"/>
    <col min="13" max="16384" width="9.140625" style="4"/>
  </cols>
  <sheetData>
    <row r="1" spans="1:12">
      <c r="C1" s="11"/>
      <c r="D1" s="11"/>
      <c r="E1" s="11"/>
      <c r="F1" s="11"/>
      <c r="G1" s="11"/>
      <c r="H1" s="11"/>
      <c r="I1" s="11"/>
      <c r="J1" s="11"/>
    </row>
    <row r="2" spans="1:12">
      <c r="C2" s="11"/>
      <c r="E2" s="10"/>
      <c r="F2" s="10"/>
      <c r="G2" s="10"/>
      <c r="H2" s="10"/>
      <c r="I2" s="10"/>
      <c r="J2" s="10"/>
      <c r="K2" s="10"/>
    </row>
    <row r="3" spans="1:12">
      <c r="C3" s="4"/>
    </row>
    <row r="4" spans="1:12">
      <c r="B4" s="4"/>
      <c r="C4" s="4"/>
    </row>
    <row r="5" spans="1:12">
      <c r="B5" s="4"/>
      <c r="C5" s="4"/>
    </row>
    <row r="6" spans="1:12">
      <c r="B6" s="4"/>
      <c r="C6" s="4"/>
      <c r="K6" s="50"/>
    </row>
    <row r="7" spans="1:12">
      <c r="B7" s="4"/>
      <c r="C7" s="4"/>
      <c r="D7" s="5"/>
      <c r="E7" s="5"/>
      <c r="F7" s="5"/>
      <c r="G7" s="5"/>
      <c r="H7" s="5"/>
      <c r="J7" s="47"/>
      <c r="K7" s="5"/>
    </row>
    <row r="8" spans="1:12">
      <c r="B8" s="4"/>
      <c r="C8" s="4"/>
      <c r="D8" s="5"/>
      <c r="E8" s="5"/>
      <c r="F8" s="5"/>
      <c r="G8" s="5"/>
      <c r="H8" s="5"/>
      <c r="J8" s="5"/>
      <c r="K8" s="5"/>
    </row>
    <row r="9" spans="1:12">
      <c r="B9" s="4"/>
      <c r="C9" s="4"/>
      <c r="D9" s="5"/>
      <c r="E9" s="5"/>
      <c r="F9" s="5"/>
      <c r="G9" s="5"/>
      <c r="H9" s="5"/>
      <c r="I9" s="47"/>
      <c r="J9" s="5"/>
      <c r="K9" s="5"/>
    </row>
    <row r="10" spans="1:12">
      <c r="B10" s="4"/>
      <c r="C10" s="4"/>
      <c r="D10" s="5"/>
      <c r="E10" s="5"/>
      <c r="F10" s="5"/>
      <c r="G10" s="5"/>
      <c r="H10" s="5"/>
      <c r="I10" s="5"/>
      <c r="J10" s="5"/>
      <c r="K10" s="41"/>
    </row>
    <row r="11" spans="1:12">
      <c r="B11" s="4"/>
      <c r="C11" s="4"/>
      <c r="D11" s="30"/>
      <c r="E11" s="30"/>
      <c r="F11" s="30"/>
      <c r="G11" s="30"/>
      <c r="H11" s="30"/>
      <c r="I11" s="5"/>
      <c r="J11" s="30"/>
      <c r="K11" s="5"/>
    </row>
    <row r="12" spans="1:12" ht="24">
      <c r="A12" s="7"/>
      <c r="B12" s="4"/>
      <c r="C12" s="78" t="s">
        <v>51</v>
      </c>
      <c r="D12" s="31" t="s">
        <v>6</v>
      </c>
      <c r="E12" s="31" t="s">
        <v>0</v>
      </c>
      <c r="F12" s="31" t="s">
        <v>1</v>
      </c>
      <c r="G12" s="31" t="s">
        <v>69</v>
      </c>
      <c r="H12" s="31" t="s">
        <v>9</v>
      </c>
      <c r="I12" s="31" t="s">
        <v>14</v>
      </c>
      <c r="J12" s="31" t="s">
        <v>5</v>
      </c>
      <c r="K12" s="31" t="s">
        <v>23</v>
      </c>
      <c r="L12" s="10"/>
    </row>
    <row r="13" spans="1:12" ht="24">
      <c r="A13" s="7"/>
      <c r="B13" s="78" t="s">
        <v>2</v>
      </c>
      <c r="C13" s="79" t="s">
        <v>157</v>
      </c>
      <c r="D13" s="45">
        <f ca="1">SUMPRODUCT(SUBTOTAL(9, OFFSET(D19,ROW(Table2[تولید])-ROW(D19), 0)), --(Table2[ارز]=C13))</f>
        <v>0</v>
      </c>
      <c r="E13" s="45">
        <f ca="1">SUMPRODUCT(SUBTOTAL(9, OFFSET(E19,ROW(Table2[تامین])-ROW(E19), 0)), --(Table2[ارز]=C13))</f>
        <v>0</v>
      </c>
      <c r="F13" s="45">
        <f ca="1">SUMPRODUCT(SUBTOTAL(9, OFFSET(F19,ROW(Table2[نصب])-ROW(F19), 0)), --(Table2[ارز]=C13))</f>
        <v>0</v>
      </c>
      <c r="G13" s="45">
        <f ca="1">SUMPRODUCT(SUBTOTAL(9, OFFSET(G19,ROW(Table2[راه اندازی])-ROW(G19), 0)), --(Table2[ارز]=C13))</f>
        <v>0</v>
      </c>
      <c r="H13" s="45">
        <f ca="1">SUMPRODUCT(SUBTOTAL(9, OFFSET(H19,ROW(Table2[مکانیکال])-ROW(H19), 0)), --(Table2[ارز]=C13))</f>
        <v>0</v>
      </c>
      <c r="I13" s="45">
        <f ca="1">SUMPRODUCT(SUBTOTAL(9, OFFSET(I19,ROW(Table2[مهندسی])-ROW(I19), 0)), --(Table2[ارز]=C13))</f>
        <v>0</v>
      </c>
      <c r="J13" s="45">
        <f ca="1">SUMPRODUCT(SUBTOTAL(9, OFFSET(J19,ROW(Table2[مدیریت])-ROW(J19), 0)), --(Table2[ارز]=C13))</f>
        <v>0</v>
      </c>
      <c r="K13" s="46">
        <f ca="1">SUMPRODUCT(SUBTOTAL(9, OFFSET(K19,ROW(Table2[جمع])-ROW(K19), 0)), --(Table2[ارز]=C13))</f>
        <v>0</v>
      </c>
      <c r="L13" s="120"/>
    </row>
    <row r="14" spans="1:12" ht="24">
      <c r="A14" s="7"/>
      <c r="B14" s="134" t="s">
        <v>2</v>
      </c>
      <c r="C14" s="154" t="s">
        <v>158</v>
      </c>
      <c r="D14" s="45">
        <f ca="1">SUMPRODUCT(SUBTOTAL(9, OFFSET(D19,ROW(Table2[تولید])-ROW(D19), 0)), --(Table2[ارز]=C14))</f>
        <v>0</v>
      </c>
      <c r="E14" s="45">
        <f ca="1">SUMPRODUCT(SUBTOTAL(9, OFFSET(E19,ROW(Table2[تامین])-ROW(E19), 0)), --(Table2[ارز]=C14))</f>
        <v>0</v>
      </c>
      <c r="F14" s="45">
        <f ca="1">SUMPRODUCT(SUBTOTAL(9, OFFSET(F19,ROW(Table2[نصب])-ROW(F19), 0)), --(Table2[ارز]=C14))</f>
        <v>0</v>
      </c>
      <c r="G14" s="45">
        <f ca="1">SUMPRODUCT(SUBTOTAL(9, OFFSET(G19,ROW(Table2[راه اندازی])-ROW(G19), 0)), --(Table2[ارز]=C14))</f>
        <v>0</v>
      </c>
      <c r="H14" s="45">
        <f ca="1">SUMPRODUCT(SUBTOTAL(9, OFFSET(H19,ROW(Table2[مکانیکال])-ROW(H19), 0)), --(Table2[ارز]=C14))</f>
        <v>0</v>
      </c>
      <c r="I14" s="45">
        <f ca="1">SUMPRODUCT(SUBTOTAL(9, OFFSET(I19,ROW(Table2[مهندسی])-ROW(I19), 0)), --(Table2[ارز]=C14))</f>
        <v>0</v>
      </c>
      <c r="J14" s="45">
        <f ca="1">SUMPRODUCT(SUBTOTAL(9, OFFSET(J19,ROW(Table2[مدیریت])-ROW(J19), 0)), --(Table2[ارز]=C14))</f>
        <v>0</v>
      </c>
      <c r="K14" s="46">
        <f ca="1">SUMPRODUCT(SUBTOTAL(9, OFFSET(K19,ROW(Table2[جمع])-ROW(K19), 0)), --(Table2[ارز]=C14))</f>
        <v>0</v>
      </c>
      <c r="L14" s="120"/>
    </row>
    <row r="15" spans="1:12" ht="24">
      <c r="B15" s="78" t="s">
        <v>2</v>
      </c>
      <c r="C15" s="79" t="s">
        <v>38</v>
      </c>
      <c r="D15" s="45">
        <f ca="1">SUMPRODUCT(SUBTOTAL(9, OFFSET(D19,ROW(Table2[تولید])-ROW(D19), 0)), --(Table2[ارز]=C15))</f>
        <v>0</v>
      </c>
      <c r="E15" s="45">
        <f ca="1">SUMPRODUCT(SUBTOTAL(9, OFFSET(E19,ROW(Table2[تامین])-ROW(E19), 0)), --(Table2[ارز]=C15))</f>
        <v>0</v>
      </c>
      <c r="F15" s="45">
        <f ca="1">SUMPRODUCT(SUBTOTAL(9, OFFSET(F19,ROW(Table2[نصب])-ROW(F19), 0)), --(Table2[ارز]=C15))</f>
        <v>0</v>
      </c>
      <c r="G15" s="45">
        <f ca="1">SUMPRODUCT(SUBTOTAL(9, OFFSET(G19,ROW(Table2[راه اندازی])-ROW(G19), 0)), --(Table2[ارز]=C15))</f>
        <v>0</v>
      </c>
      <c r="H15" s="45">
        <f ca="1">SUMPRODUCT(SUBTOTAL(9, OFFSET(H19,ROW(Table2[مکانیکال])-ROW(H19), 0)), --(Table2[ارز]=C15))</f>
        <v>0</v>
      </c>
      <c r="I15" s="45">
        <f ca="1">SUMPRODUCT(SUBTOTAL(9, OFFSET(I19,ROW(Table2[مهندسی])-ROW(I19), 0)), --(Table2[ارز]=C15))</f>
        <v>0</v>
      </c>
      <c r="J15" s="45">
        <f ca="1">SUMPRODUCT(SUBTOTAL(9, OFFSET(J19,ROW(Table2[مدیریت])-ROW(J19), 0)), --(Table2[ارز]=C15))</f>
        <v>0</v>
      </c>
      <c r="K15" s="46">
        <f ca="1">SUMPRODUCT(SUBTOTAL(9, OFFSET(K19,ROW(Table2[جمع])-ROW(K19), 0)), --(Table2[ارز]=C15))</f>
        <v>0</v>
      </c>
      <c r="L15" s="42"/>
    </row>
    <row r="16" spans="1:12" ht="24">
      <c r="B16" s="78" t="s">
        <v>2</v>
      </c>
      <c r="C16" s="80" t="s">
        <v>37</v>
      </c>
      <c r="D16" s="45">
        <f ca="1">SUMPRODUCT(SUBTOTAL(9, OFFSET(D19,ROW(Table2[تولید])-ROW(D19), 0)), --(Table2[ارز]=C16))</f>
        <v>8.1034482758620641</v>
      </c>
      <c r="E16" s="45">
        <f ca="1">SUMPRODUCT(SUBTOTAL(9, OFFSET(E19,ROW(Table2[تامین])-ROW(E19), 0)), --(Table2[ارز]=C16))</f>
        <v>447.70000000000005</v>
      </c>
      <c r="F16" s="45">
        <f ca="1">SUMPRODUCT(SUBTOTAL(9, OFFSET(F19,ROW(Table2[نصب])-ROW(F19), 0)), --(Table2[ارز]=C16))</f>
        <v>0</v>
      </c>
      <c r="G16" s="45">
        <f ca="1">SUMPRODUCT(SUBTOTAL(9, OFFSET(G19,ROW(Table2[راه اندازی])-ROW(G19), 0)), --(Table2[ارز]=C16))</f>
        <v>0</v>
      </c>
      <c r="H16" s="45">
        <f ca="1">SUMPRODUCT(SUBTOTAL(9, OFFSET(H19,ROW(Table2[مکانیکال])-ROW(H19), 0)), --(Table2[ارز]=C16))</f>
        <v>191.2</v>
      </c>
      <c r="I16" s="45">
        <f ca="1">SUMPRODUCT(SUBTOTAL(9, OFFSET(I19,ROW(Table2[مهندسی])-ROW(I19), 0)), --(Table2[ارز]=C16))</f>
        <v>305.20000000000005</v>
      </c>
      <c r="J16" s="45">
        <f ca="1">SUMPRODUCT(SUBTOTAL(9, OFFSET(J19,ROW(Table2[مدیریت])-ROW(J19), 0)), --(Table2[ارز]=C16))</f>
        <v>0</v>
      </c>
      <c r="K16" s="46">
        <f ca="1">SUMPRODUCT(SUBTOTAL(9, OFFSET(K19,ROW(Table2[جمع])-ROW(K19), 0)), --(Table2[ارز]=C16))</f>
        <v>1209.2034482758622</v>
      </c>
    </row>
    <row r="17" spans="1:11" s="5" customFormat="1">
      <c r="B17" s="68"/>
    </row>
    <row r="18" spans="1:11">
      <c r="A18" s="7"/>
      <c r="B18" s="25" t="s">
        <v>50</v>
      </c>
      <c r="C18" s="26" t="s">
        <v>51</v>
      </c>
      <c r="D18" s="26" t="s">
        <v>6</v>
      </c>
      <c r="E18" s="26" t="s">
        <v>0</v>
      </c>
      <c r="F18" s="26" t="s">
        <v>1</v>
      </c>
      <c r="G18" s="27" t="s">
        <v>3</v>
      </c>
      <c r="H18" s="28" t="s">
        <v>9</v>
      </c>
      <c r="I18" s="28" t="s">
        <v>14</v>
      </c>
      <c r="J18" s="27" t="s">
        <v>5</v>
      </c>
      <c r="K18" s="29" t="s">
        <v>2</v>
      </c>
    </row>
    <row r="19" spans="1:11" ht="24" hidden="1">
      <c r="A19" s="7"/>
      <c r="B19" s="24" t="s">
        <v>148</v>
      </c>
      <c r="C19" s="23" t="s">
        <v>157</v>
      </c>
      <c r="D19" s="36">
        <f>SUMIFS('ریز نقدینگی ارزی'!$F$4:$F$1036,'ریز نقدینگی ارزی'!$F$4:$F$1036,"&gt;0",'ریز نقدینگی ارزی'!$C$4:$C$1036,B19,'ریز نقدینگی ارزی'!$E$4:$E$1036,$D$18,'ریز نقدینگی ارزی'!$B$4:$B$1036,C19)-SUMIFS('ریز نقدینگی ارزی'!$G$4:$G$1036,'ریز نقدینگی ارزی'!$G$4:$G$1036,"&gt;0",'ریز نقدینگی ارزی'!$C$4:$C$1036,B19,'ریز نقدینگی ارزی'!$E$4:$E$1036,$D$18,'ریز نقدینگی ارزی'!$B$4:$B$1036,C19)</f>
        <v>0</v>
      </c>
      <c r="E19" s="37">
        <f>SUMIFS('ریز نقدینگی ارزی'!$F$4:$F$1036,'ریز نقدینگی ارزی'!$F$4:$F$1036,"&gt;0",'ریز نقدینگی ارزی'!$C$4:$C$1036,B19,'ریز نقدینگی ارزی'!$E$4:$E$1036,$E$18,'ریز نقدینگی ارزی'!$B$4:$B$1036,C19)-SUMIFS('ریز نقدینگی ارزی'!$G$4:$G$1036,'ریز نقدینگی ارزی'!$G$4:$G$1036,"&gt;0",'ریز نقدینگی ارزی'!$C$4:$C$1036,B19,'ریز نقدینگی ارزی'!$E$4:$E$1036,$E$18,'ریز نقدینگی ارزی'!$B$4:$B$1036,C19)</f>
        <v>0</v>
      </c>
      <c r="F19" s="36">
        <f>SUMIFS('ریز نقدینگی ارزی'!$F$4:$F$1036,'ریز نقدینگی ارزی'!$F$4:$F$1036,"&gt;0",'ریز نقدینگی ارزی'!$C$4:$C$1036,B19,'ریز نقدینگی ارزی'!$E$4:$E$1036,$F$18,'ریز نقدینگی ارزی'!$B$4:$B$1036,C19)-SUMIFS('ریز نقدینگی ارزی'!$G$4:$G$1036,'ریز نقدینگی ارزی'!$G$4:$G$1036,"&gt;0",'ریز نقدینگی ارزی'!$C$4:$C$1036,B19,'ریز نقدینگی ارزی'!$E$4:$E$1036,$F$18,'ریز نقدینگی ارزی'!$B$4:$B$1036,C19)</f>
        <v>0</v>
      </c>
      <c r="G19" s="36">
        <f>SUMIFS('ریز نقدینگی ارزی'!$F$4:$F$1036,'ریز نقدینگی ارزی'!$F$4:$F$1036,"&gt;0",'ریز نقدینگی ارزی'!$C$4:$C$1036,B19,'ریز نقدینگی ارزی'!$E$4:$E$1036,$G$18,'ریز نقدینگی ارزی'!$B$4:$B$1036,C19)-SUMIFS('ریز نقدینگی ارزی'!$G$4:$G$1036,'ریز نقدینگی ارزی'!$G$4:$G$1036,"&gt;0",'ریز نقدینگی ارزی'!$C$4:$C$1036,B19,'ریز نقدینگی ارزی'!$E$4:$E$1036,$G$18,'ریز نقدینگی ارزی'!$B$4:$B$1036,C19)</f>
        <v>0</v>
      </c>
      <c r="H19" s="36">
        <f>SUMIFS('ریز نقدینگی ارزی'!$F$4:$F$1036,'ریز نقدینگی ارزی'!$F$4:$F$1036,"&gt;0",'ریز نقدینگی ارزی'!$C$4:$C$1036,B19,'ریز نقدینگی ارزی'!$E$4:$E$1036,$H$18,'ریز نقدینگی ارزی'!$B$4:$B$1036,C19)-SUMIFS('ریز نقدینگی ارزی'!$G$4:$G$1036,'ریز نقدینگی ارزی'!$G$4:$G$1036,"&gt;0",'ریز نقدینگی ارزی'!$C$4:$C$1036,B19,'ریز نقدینگی ارزی'!$E$4:$E$1036,$H$18,'ریز نقدینگی ارزی'!$B$4:$B$1036,C19)</f>
        <v>0</v>
      </c>
      <c r="I19" s="36">
        <f>SUMIFS('ریز نقدینگی ارزی'!$F$4:$F$1036,'ریز نقدینگی ارزی'!$F$4:$F$1036,"&gt;0",'ریز نقدینگی ارزی'!$C$4:$C$1036,B19,'ریز نقدینگی ارزی'!$E$4:$E$1036,$I$18,'ریز نقدینگی ارزی'!$B$4:$B$1036,C19)-SUMIFS('ریز نقدینگی ارزی'!$G$4:$G$1036,'ریز نقدینگی ارزی'!$G$4:$G$1036,"&gt;0",'ریز نقدینگی ارزی'!$C$4:$C$1036,B19,'ریز نقدینگی ارزی'!$E$4:$E$1036,$I$18,'ریز نقدینگی ارزی'!$B$4:$B$1036,C19)</f>
        <v>0</v>
      </c>
      <c r="J19" s="36">
        <f>SUMIFS('ریز نقدینگی ارزی'!$F$4:$F$1036,'ریز نقدینگی ارزی'!$F$4:$F$1036,"&gt;0",'ریز نقدینگی ارزی'!$C$4:$C$1036,B19,'ریز نقدینگی ارزی'!$E$4:$E$1036,$J$18,'ریز نقدینگی ارزی'!$B$4:$B$1036,C19)-SUMIFS('ریز نقدینگی ارزی'!$G$4:$G$1036,'ریز نقدینگی ارزی'!$G$4:$G$1036,"&gt;0",'ریز نقدینگی ارزی'!$C$4:$C$1036,B19,'ریز نقدینگی ارزی'!$E$4:$E$1036,$J$18,'ریز نقدینگی ارزی'!$B$4:$B$1036,C19)</f>
        <v>0</v>
      </c>
      <c r="K19" s="32">
        <f>SUM(Table2[[#This Row],[تولید]:[مدیریت]])</f>
        <v>0</v>
      </c>
    </row>
    <row r="20" spans="1:11" ht="24" hidden="1">
      <c r="A20" s="7"/>
      <c r="B20" s="24" t="s">
        <v>148</v>
      </c>
      <c r="C20" s="135" t="s">
        <v>158</v>
      </c>
      <c r="D20" s="36">
        <f>SUMIFS('ریز نقدینگی ارزی'!$F$4:$F$1036,'ریز نقدینگی ارزی'!$F$4:$F$1036,"&gt;0",'ریز نقدینگی ارزی'!$C$4:$C$1036,B20,'ریز نقدینگی ارزی'!$E$4:$E$1036,$D$18,'ریز نقدینگی ارزی'!$B$4:$B$1036,C20)-SUMIFS('ریز نقدینگی ارزی'!$G$4:$G$1036,'ریز نقدینگی ارزی'!$G$4:$G$1036,"&gt;0",'ریز نقدینگی ارزی'!$C$4:$C$1036,B20,'ریز نقدینگی ارزی'!$E$4:$E$1036,$D$18,'ریز نقدینگی ارزی'!$B$4:$B$1036,C20)</f>
        <v>0</v>
      </c>
      <c r="E20" s="37">
        <f>SUMIFS('ریز نقدینگی ارزی'!$F$4:$F$1036,'ریز نقدینگی ارزی'!$F$4:$F$1036,"&gt;0",'ریز نقدینگی ارزی'!$C$4:$C$1036,B20,'ریز نقدینگی ارزی'!$E$4:$E$1036,$E$18,'ریز نقدینگی ارزی'!$B$4:$B$1036,C20)-SUMIFS('ریز نقدینگی ارزی'!$G$4:$G$1036,'ریز نقدینگی ارزی'!$G$4:$G$1036,"&gt;0",'ریز نقدینگی ارزی'!$C$4:$C$1036,B20,'ریز نقدینگی ارزی'!$E$4:$E$1036,$E$18,'ریز نقدینگی ارزی'!$B$4:$B$1036,C20)</f>
        <v>0</v>
      </c>
      <c r="F20" s="36">
        <f>SUMIFS('ریز نقدینگی ارزی'!$F$4:$F$1036,'ریز نقدینگی ارزی'!$F$4:$F$1036,"&gt;0",'ریز نقدینگی ارزی'!$C$4:$C$1036,B20,'ریز نقدینگی ارزی'!$E$4:$E$1036,$F$18,'ریز نقدینگی ارزی'!$B$4:$B$1036,C20)-SUMIFS('ریز نقدینگی ارزی'!$G$4:$G$1036,'ریز نقدینگی ارزی'!$G$4:$G$1036,"&gt;0",'ریز نقدینگی ارزی'!$C$4:$C$1036,B20,'ریز نقدینگی ارزی'!$E$4:$E$1036,$F$18,'ریز نقدینگی ارزی'!$B$4:$B$1036,C20)</f>
        <v>0</v>
      </c>
      <c r="G20" s="36">
        <f>SUMIFS('ریز نقدینگی ارزی'!$F$4:$F$1036,'ریز نقدینگی ارزی'!$F$4:$F$1036,"&gt;0",'ریز نقدینگی ارزی'!$C$4:$C$1036,B20,'ریز نقدینگی ارزی'!$E$4:$E$1036,$G$18,'ریز نقدینگی ارزی'!$B$4:$B$1036,C20)-SUMIFS('ریز نقدینگی ارزی'!$G$4:$G$1036,'ریز نقدینگی ارزی'!$G$4:$G$1036,"&gt;0",'ریز نقدینگی ارزی'!$C$4:$C$1036,B20,'ریز نقدینگی ارزی'!$E$4:$E$1036,$G$18,'ریز نقدینگی ارزی'!$B$4:$B$1036,C20)</f>
        <v>0</v>
      </c>
      <c r="H20" s="36">
        <f>SUMIFS('ریز نقدینگی ارزی'!$F$4:$F$1036,'ریز نقدینگی ارزی'!$F$4:$F$1036,"&gt;0",'ریز نقدینگی ارزی'!$C$4:$C$1036,B20,'ریز نقدینگی ارزی'!$E$4:$E$1036,$H$18,'ریز نقدینگی ارزی'!$B$4:$B$1036,C20)-SUMIFS('ریز نقدینگی ارزی'!$G$4:$G$1036,'ریز نقدینگی ارزی'!$G$4:$G$1036,"&gt;0",'ریز نقدینگی ارزی'!$C$4:$C$1036,B20,'ریز نقدینگی ارزی'!$E$4:$E$1036,$H$18,'ریز نقدینگی ارزی'!$B$4:$B$1036,C20)</f>
        <v>0</v>
      </c>
      <c r="I20" s="36">
        <f>SUMIFS('ریز نقدینگی ارزی'!$F$4:$F$1036,'ریز نقدینگی ارزی'!$F$4:$F$1036,"&gt;0",'ریز نقدینگی ارزی'!$C$4:$C$1036,B20,'ریز نقدینگی ارزی'!$E$4:$E$1036,$I$18,'ریز نقدینگی ارزی'!$B$4:$B$1036,C20)-SUMIFS('ریز نقدینگی ارزی'!$G$4:$G$1036,'ریز نقدینگی ارزی'!$G$4:$G$1036,"&gt;0",'ریز نقدینگی ارزی'!$C$4:$C$1036,B20,'ریز نقدینگی ارزی'!$E$4:$E$1036,$I$18,'ریز نقدینگی ارزی'!$B$4:$B$1036,C20)</f>
        <v>0</v>
      </c>
      <c r="J20" s="36">
        <f>SUMIFS('ریز نقدینگی ارزی'!$F$4:$F$1036,'ریز نقدینگی ارزی'!$F$4:$F$1036,"&gt;0",'ریز نقدینگی ارزی'!$C$4:$C$1036,B20,'ریز نقدینگی ارزی'!$E$4:$E$1036,$J$18,'ریز نقدینگی ارزی'!$B$4:$B$1036,C20)-SUMIFS('ریز نقدینگی ارزی'!$G$4:$G$1036,'ریز نقدینگی ارزی'!$G$4:$G$1036,"&gt;0",'ریز نقدینگی ارزی'!$C$4:$C$1036,B20,'ریز نقدینگی ارزی'!$E$4:$E$1036,$J$18,'ریز نقدینگی ارزی'!$B$4:$B$1036,C20)</f>
        <v>0</v>
      </c>
      <c r="K20" s="32">
        <f>SUM(Table2[[#This Row],[تولید]:[مدیریت]])</f>
        <v>0</v>
      </c>
    </row>
    <row r="21" spans="1:11" ht="24" hidden="1">
      <c r="A21" s="7"/>
      <c r="B21" s="24" t="s">
        <v>148</v>
      </c>
      <c r="C21" s="23" t="s">
        <v>38</v>
      </c>
      <c r="D21" s="36">
        <f>SUMIFS('ریز نقدینگی ارزی'!$F$4:$F$1036,'ریز نقدینگی ارزی'!$F$4:$F$1036,"&gt;0",'ریز نقدینگی ارزی'!$C$4:$C$1036,B21,'ریز نقدینگی ارزی'!$E$4:$E$1036,$D$18,'ریز نقدینگی ارزی'!$B$4:$B$1036,C21)-SUMIFS('ریز نقدینگی ارزی'!$G$4:$G$1036,'ریز نقدینگی ارزی'!$G$4:$G$1036,"&gt;0",'ریز نقدینگی ارزی'!$C$4:$C$1036,B21,'ریز نقدینگی ارزی'!$E$4:$E$1036,$D$18,'ریز نقدینگی ارزی'!$B$4:$B$1036,C21)</f>
        <v>0</v>
      </c>
      <c r="E21" s="37">
        <f>SUMIFS('ریز نقدینگی ارزی'!$F$4:$F$1036,'ریز نقدینگی ارزی'!$F$4:$F$1036,"&gt;0",'ریز نقدینگی ارزی'!$C$4:$C$1036,B21,'ریز نقدینگی ارزی'!$E$4:$E$1036,$E$18,'ریز نقدینگی ارزی'!$B$4:$B$1036,C21)-SUMIFS('ریز نقدینگی ارزی'!$G$4:$G$1036,'ریز نقدینگی ارزی'!$G$4:$G$1036,"&gt;0",'ریز نقدینگی ارزی'!$C$4:$C$1036,B21,'ریز نقدینگی ارزی'!$E$4:$E$1036,$E$18,'ریز نقدینگی ارزی'!$B$4:$B$1036,C21)</f>
        <v>435.27</v>
      </c>
      <c r="F21" s="36">
        <f>SUMIFS('ریز نقدینگی ارزی'!$F$4:$F$1036,'ریز نقدینگی ارزی'!$F$4:$F$1036,"&gt;0",'ریز نقدینگی ارزی'!$C$4:$C$1036,B21,'ریز نقدینگی ارزی'!$E$4:$E$1036,$F$18,'ریز نقدینگی ارزی'!$B$4:$B$1036,C21)-SUMIFS('ریز نقدینگی ارزی'!$G$4:$G$1036,'ریز نقدینگی ارزی'!$G$4:$G$1036,"&gt;0",'ریز نقدینگی ارزی'!$C$4:$C$1036,B21,'ریز نقدینگی ارزی'!$E$4:$E$1036,$F$18,'ریز نقدینگی ارزی'!$B$4:$B$1036,C21)</f>
        <v>0</v>
      </c>
      <c r="G21" s="36">
        <f>SUMIFS('ریز نقدینگی ارزی'!$F$4:$F$1036,'ریز نقدینگی ارزی'!$F$4:$F$1036,"&gt;0",'ریز نقدینگی ارزی'!$C$4:$C$1036,B21,'ریز نقدینگی ارزی'!$E$4:$E$1036,$G$18,'ریز نقدینگی ارزی'!$B$4:$B$1036,C21)-SUMIFS('ریز نقدینگی ارزی'!$G$4:$G$1036,'ریز نقدینگی ارزی'!$G$4:$G$1036,"&gt;0",'ریز نقدینگی ارزی'!$C$4:$C$1036,B21,'ریز نقدینگی ارزی'!$E$4:$E$1036,$G$18,'ریز نقدینگی ارزی'!$B$4:$B$1036,C21)</f>
        <v>0</v>
      </c>
      <c r="H21" s="36">
        <f>SUMIFS('ریز نقدینگی ارزی'!$F$4:$F$1036,'ریز نقدینگی ارزی'!$F$4:$F$1036,"&gt;0",'ریز نقدینگی ارزی'!$C$4:$C$1036,B21,'ریز نقدینگی ارزی'!$E$4:$E$1036,$H$18,'ریز نقدینگی ارزی'!$B$4:$B$1036,C21)-SUMIFS('ریز نقدینگی ارزی'!$G$4:$G$1036,'ریز نقدینگی ارزی'!$G$4:$G$1036,"&gt;0",'ریز نقدینگی ارزی'!$C$4:$C$1036,B21,'ریز نقدینگی ارزی'!$E$4:$E$1036,$H$18,'ریز نقدینگی ارزی'!$B$4:$B$1036,C21)</f>
        <v>0</v>
      </c>
      <c r="I21" s="36">
        <f>SUMIFS('ریز نقدینگی ارزی'!$F$4:$F$1036,'ریز نقدینگی ارزی'!$F$4:$F$1036,"&gt;0",'ریز نقدینگی ارزی'!$C$4:$C$1036,B21,'ریز نقدینگی ارزی'!$E$4:$E$1036,$I$18,'ریز نقدینگی ارزی'!$B$4:$B$1036,C21)-SUMIFS('ریز نقدینگی ارزی'!$G$4:$G$1036,'ریز نقدینگی ارزی'!$G$4:$G$1036,"&gt;0",'ریز نقدینگی ارزی'!$C$4:$C$1036,B21,'ریز نقدینگی ارزی'!$E$4:$E$1036,$I$18,'ریز نقدینگی ارزی'!$B$4:$B$1036,C21)</f>
        <v>577</v>
      </c>
      <c r="J21" s="36">
        <f>SUMIFS('ریز نقدینگی ارزی'!$F$4:$F$1036,'ریز نقدینگی ارزی'!$F$4:$F$1036,"&gt;0",'ریز نقدینگی ارزی'!$C$4:$C$1036,B21,'ریز نقدینگی ارزی'!$E$4:$E$1036,$J$18,'ریز نقدینگی ارزی'!$B$4:$B$1036,C21)-SUMIFS('ریز نقدینگی ارزی'!$G$4:$G$1036,'ریز نقدینگی ارزی'!$G$4:$G$1036,"&gt;0",'ریز نقدینگی ارزی'!$C$4:$C$1036,B21,'ریز نقدینگی ارزی'!$E$4:$E$1036,$J$18,'ریز نقدینگی ارزی'!$B$4:$B$1036,C21)</f>
        <v>0</v>
      </c>
      <c r="K21" s="35">
        <f>SUM(Table2[[#This Row],[تولید]:[مدیریت]])</f>
        <v>1012.27</v>
      </c>
    </row>
    <row r="22" spans="1:11" ht="24">
      <c r="A22" s="7"/>
      <c r="B22" s="24" t="s">
        <v>148</v>
      </c>
      <c r="C22" s="23" t="s">
        <v>37</v>
      </c>
      <c r="D22" s="36">
        <f>SUMIFS('ریز نقدینگی ارزی'!$F$4:$F$1036,'ریز نقدینگی ارزی'!$F$4:$F$1036,"&gt;0",'ریز نقدینگی ارزی'!$C$4:$C$1036,B22,'ریز نقدینگی ارزی'!$E$4:$E$1036,$D$18,'ریز نقدینگی ارزی'!$B$4:$B$1036,C22)-SUMIFS('ریز نقدینگی ارزی'!$G$4:$G$1036,'ریز نقدینگی ارزی'!$G$4:$G$1036,"&gt;0",'ریز نقدینگی ارزی'!$C$4:$C$1036,B22,'ریز نقدینگی ارزی'!$E$4:$E$1036,$D$18,'ریز نقدینگی ارزی'!$B$4:$B$1036,C22)</f>
        <v>1</v>
      </c>
      <c r="E22" s="37">
        <f>SUMIFS('ریز نقدینگی ارزی'!$F$4:$F$1036,'ریز نقدینگی ارزی'!$F$4:$F$1036,"&gt;0",'ریز نقدینگی ارزی'!$C$4:$C$1036,B22,'ریز نقدینگی ارزی'!$E$4:$E$1036,$E$18,'ریز نقدینگی ارزی'!$B$4:$B$1036,C22)-SUMIFS('ریز نقدینگی ارزی'!$G$4:$G$1036,'ریز نقدینگی ارزی'!$G$4:$G$1036,"&gt;0",'ریز نقدینگی ارزی'!$C$4:$C$1036,B22,'ریز نقدینگی ارزی'!$E$4:$E$1036,$E$18,'ریز نقدینگی ارزی'!$B$4:$B$1036,C22)</f>
        <v>435.6</v>
      </c>
      <c r="F22" s="36">
        <f>SUMIFS('ریز نقدینگی ارزی'!$F$4:$F$1036,'ریز نقدینگی ارزی'!$F$4:$F$1036,"&gt;0",'ریز نقدینگی ارزی'!$C$4:$C$1036,B22,'ریز نقدینگی ارزی'!$E$4:$E$1036,$F$18,'ریز نقدینگی ارزی'!$B$4:$B$1036,C22)-SUMIFS('ریز نقدینگی ارزی'!$G$4:$G$1036,'ریز نقدینگی ارزی'!$G$4:$G$1036,"&gt;0",'ریز نقدینگی ارزی'!$C$4:$C$1036,B22,'ریز نقدینگی ارزی'!$E$4:$E$1036,$F$18,'ریز نقدینگی ارزی'!$B$4:$B$1036,C22)</f>
        <v>0</v>
      </c>
      <c r="G22" s="36">
        <f>SUMIFS('ریز نقدینگی ارزی'!$F$4:$F$1036,'ریز نقدینگی ارزی'!$F$4:$F$1036,"&gt;0",'ریز نقدینگی ارزی'!$C$4:$C$1036,B22,'ریز نقدینگی ارزی'!$E$4:$E$1036,$G$18,'ریز نقدینگی ارزی'!$B$4:$B$1036,C22)-SUMIFS('ریز نقدینگی ارزی'!$G$4:$G$1036,'ریز نقدینگی ارزی'!$G$4:$G$1036,"&gt;0",'ریز نقدینگی ارزی'!$C$4:$C$1036,B22,'ریز نقدینگی ارزی'!$E$4:$E$1036,$G$18,'ریز نقدینگی ارزی'!$B$4:$B$1036,C22)</f>
        <v>0</v>
      </c>
      <c r="H22" s="36">
        <f>SUMIFS('ریز نقدینگی ارزی'!$F$4:$F$1036,'ریز نقدینگی ارزی'!$F$4:$F$1036,"&gt;0",'ریز نقدینگی ارزی'!$C$4:$C$1036,B22,'ریز نقدینگی ارزی'!$E$4:$E$1036,$H$18,'ریز نقدینگی ارزی'!$B$4:$B$1036,C22)-SUMIFS('ریز نقدینگی ارزی'!$G$4:$G$1036,'ریز نقدینگی ارزی'!$G$4:$G$1036,"&gt;0",'ریز نقدینگی ارزی'!$C$4:$C$1036,B22,'ریز نقدینگی ارزی'!$E$4:$E$1036,$H$18,'ریز نقدینگی ارزی'!$B$4:$B$1036,C22)</f>
        <v>191.2</v>
      </c>
      <c r="I22" s="36">
        <f>SUMIFS('ریز نقدینگی ارزی'!$F$4:$F$1036,'ریز نقدینگی ارزی'!$F$4:$F$1036,"&gt;0",'ریز نقدینگی ارزی'!$C$4:$C$1036,B22,'ریز نقدینگی ارزی'!$E$4:$E$1036,$I$18,'ریز نقدینگی ارزی'!$B$4:$B$1036,C22)-SUMIFS('ریز نقدینگی ارزی'!$G$4:$G$1036,'ریز نقدینگی ارزی'!$G$4:$G$1036,"&gt;0",'ریز نقدینگی ارزی'!$C$4:$C$1036,B22,'ریز نقدینگی ارزی'!$E$4:$E$1036,$I$18,'ریز نقدینگی ارزی'!$B$4:$B$1036,C22)</f>
        <v>305.20000000000005</v>
      </c>
      <c r="J22" s="36">
        <f>SUMIFS('ریز نقدینگی ارزی'!$F$4:$F$1036,'ریز نقدینگی ارزی'!$F$4:$F$1036,"&gt;0",'ریز نقدینگی ارزی'!$C$4:$C$1036,B22,'ریز نقدینگی ارزی'!$E$4:$E$1036,$J$18,'ریز نقدینگی ارزی'!$B$4:$B$1036,C22)-SUMIFS('ریز نقدینگی ارزی'!$G$4:$G$1036,'ریز نقدینگی ارزی'!$G$4:$G$1036,"&gt;0",'ریز نقدینگی ارزی'!$C$4:$C$1036,B22,'ریز نقدینگی ارزی'!$E$4:$E$1036,$J$18,'ریز نقدینگی ارزی'!$B$4:$B$1036,C22)</f>
        <v>0</v>
      </c>
      <c r="K22" s="35">
        <f>SUM(Table2[[#This Row],[تولید]:[مدیریت]])</f>
        <v>933</v>
      </c>
    </row>
    <row r="23" spans="1:11" ht="24" hidden="1">
      <c r="A23" s="7"/>
      <c r="B23" s="24" t="s">
        <v>156</v>
      </c>
      <c r="C23" s="23" t="s">
        <v>157</v>
      </c>
      <c r="D23" s="36">
        <f>SUMIFS('ریز نقدینگی ارزی'!$F$4:$F$1036,'ریز نقدینگی ارزی'!$F$4:$F$1036,"&gt;0",'ریز نقدینگی ارزی'!$C$4:$C$1036,B23,'ریز نقدینگی ارزی'!$E$4:$E$1036,$D$18,'ریز نقدینگی ارزی'!$B$4:$B$1036,C23)-SUMIFS('ریز نقدینگی ارزی'!$G$4:$G$1036,'ریز نقدینگی ارزی'!$G$4:$G$1036,"&gt;0",'ریز نقدینگی ارزی'!$C$4:$C$1036,B23,'ریز نقدینگی ارزی'!$E$4:$E$1036,$D$18,'ریز نقدینگی ارزی'!$B$4:$B$1036,C23)</f>
        <v>0</v>
      </c>
      <c r="E23" s="37">
        <f>SUMIFS('ریز نقدینگی ارزی'!$F$4:$F$1036,'ریز نقدینگی ارزی'!$F$4:$F$1036,"&gt;0",'ریز نقدینگی ارزی'!$C$4:$C$1036,B23,'ریز نقدینگی ارزی'!$E$4:$E$1036,$E$18,'ریز نقدینگی ارزی'!$B$4:$B$1036,C23)-SUMIFS('ریز نقدینگی ارزی'!$G$4:$G$1036,'ریز نقدینگی ارزی'!$G$4:$G$1036,"&gt;0",'ریز نقدینگی ارزی'!$C$4:$C$1036,B23,'ریز نقدینگی ارزی'!$E$4:$E$1036,$E$18,'ریز نقدینگی ارزی'!$B$4:$B$1036,C23)</f>
        <v>835.2</v>
      </c>
      <c r="F23" s="36">
        <f>SUMIFS('ریز نقدینگی ارزی'!$F$4:$F$1036,'ریز نقدینگی ارزی'!$F$4:$F$1036,"&gt;0",'ریز نقدینگی ارزی'!$C$4:$C$1036,B23,'ریز نقدینگی ارزی'!$E$4:$E$1036,$F$18,'ریز نقدینگی ارزی'!$B$4:$B$1036,C23)-SUMIFS('ریز نقدینگی ارزی'!$G$4:$G$1036,'ریز نقدینگی ارزی'!$G$4:$G$1036,"&gt;0",'ریز نقدینگی ارزی'!$C$4:$C$1036,B23,'ریز نقدینگی ارزی'!$E$4:$E$1036,$F$18,'ریز نقدینگی ارزی'!$B$4:$B$1036,C23)</f>
        <v>0</v>
      </c>
      <c r="G23" s="36">
        <f>SUMIFS('ریز نقدینگی ارزی'!$F$4:$F$1036,'ریز نقدینگی ارزی'!$F$4:$F$1036,"&gt;0",'ریز نقدینگی ارزی'!$C$4:$C$1036,B23,'ریز نقدینگی ارزی'!$E$4:$E$1036,$G$18,'ریز نقدینگی ارزی'!$B$4:$B$1036,C23)-SUMIFS('ریز نقدینگی ارزی'!$G$4:$G$1036,'ریز نقدینگی ارزی'!$G$4:$G$1036,"&gt;0",'ریز نقدینگی ارزی'!$C$4:$C$1036,B23,'ریز نقدینگی ارزی'!$E$4:$E$1036,$G$18,'ریز نقدینگی ارزی'!$B$4:$B$1036,C23)</f>
        <v>0</v>
      </c>
      <c r="H23" s="36">
        <f>SUMIFS('ریز نقدینگی ارزی'!$F$4:$F$1036,'ریز نقدینگی ارزی'!$F$4:$F$1036,"&gt;0",'ریز نقدینگی ارزی'!$C$4:$C$1036,B23,'ریز نقدینگی ارزی'!$E$4:$E$1036,$H$18,'ریز نقدینگی ارزی'!$B$4:$B$1036,C23)-SUMIFS('ریز نقدینگی ارزی'!$G$4:$G$1036,'ریز نقدینگی ارزی'!$G$4:$G$1036,"&gt;0",'ریز نقدینگی ارزی'!$C$4:$C$1036,B23,'ریز نقدینگی ارزی'!$E$4:$E$1036,$H$18,'ریز نقدینگی ارزی'!$B$4:$B$1036,C23)</f>
        <v>0</v>
      </c>
      <c r="I23" s="36">
        <f>SUMIFS('ریز نقدینگی ارزی'!$F$4:$F$1036,'ریز نقدینگی ارزی'!$F$4:$F$1036,"&gt;0",'ریز نقدینگی ارزی'!$C$4:$C$1036,B23,'ریز نقدینگی ارزی'!$E$4:$E$1036,$I$18,'ریز نقدینگی ارزی'!$B$4:$B$1036,C23)-SUMIFS('ریز نقدینگی ارزی'!$G$4:$G$1036,'ریز نقدینگی ارزی'!$G$4:$G$1036,"&gt;0",'ریز نقدینگی ارزی'!$C$4:$C$1036,B23,'ریز نقدینگی ارزی'!$E$4:$E$1036,$I$18,'ریز نقدینگی ارزی'!$B$4:$B$1036,C23)</f>
        <v>0</v>
      </c>
      <c r="J23" s="36">
        <f>SUMIFS('ریز نقدینگی ارزی'!$F$4:$F$1036,'ریز نقدینگی ارزی'!$F$4:$F$1036,"&gt;0",'ریز نقدینگی ارزی'!$C$4:$C$1036,B23,'ریز نقدینگی ارزی'!$E$4:$E$1036,$J$18,'ریز نقدینگی ارزی'!$B$4:$B$1036,C23)-SUMIFS('ریز نقدینگی ارزی'!$G$4:$G$1036,'ریز نقدینگی ارزی'!$G$4:$G$1036,"&gt;0",'ریز نقدینگی ارزی'!$C$4:$C$1036,B23,'ریز نقدینگی ارزی'!$E$4:$E$1036,$J$18,'ریز نقدینگی ارزی'!$B$4:$B$1036,C23)</f>
        <v>0</v>
      </c>
      <c r="K23" s="32">
        <f>SUM(Table2[[#This Row],[تولید]:[مدیریت]])</f>
        <v>835.2</v>
      </c>
    </row>
    <row r="24" spans="1:11" ht="24" hidden="1">
      <c r="A24" s="136"/>
      <c r="B24" s="24" t="s">
        <v>156</v>
      </c>
      <c r="C24" s="135" t="s">
        <v>158</v>
      </c>
      <c r="D24" s="36">
        <f>SUMIFS('ریز نقدینگی ارزی'!$F$4:$F$1036,'ریز نقدینگی ارزی'!$F$4:$F$1036,"&gt;0",'ریز نقدینگی ارزی'!$C$4:$C$1036,B24,'ریز نقدینگی ارزی'!$E$4:$E$1036,$D$18,'ریز نقدینگی ارزی'!$B$4:$B$1036,C24)-SUMIFS('ریز نقدینگی ارزی'!$G$4:$G$1036,'ریز نقدینگی ارزی'!$G$4:$G$1036,"&gt;0",'ریز نقدینگی ارزی'!$C$4:$C$1036,B24,'ریز نقدینگی ارزی'!$E$4:$E$1036,$D$18,'ریز نقدینگی ارزی'!$B$4:$B$1036,C24)</f>
        <v>0</v>
      </c>
      <c r="E24" s="37">
        <f>SUMIFS('ریز نقدینگی ارزی'!$F$4:$F$1036,'ریز نقدینگی ارزی'!$F$4:$F$1036,"&gt;0",'ریز نقدینگی ارزی'!$C$4:$C$1036,B24,'ریز نقدینگی ارزی'!$E$4:$E$1036,$E$18,'ریز نقدینگی ارزی'!$B$4:$B$1036,C24)-SUMIFS('ریز نقدینگی ارزی'!$G$4:$G$1036,'ریز نقدینگی ارزی'!$G$4:$G$1036,"&gt;0",'ریز نقدینگی ارزی'!$C$4:$C$1036,B24,'ریز نقدینگی ارزی'!$E$4:$E$1036,$E$18,'ریز نقدینگی ارزی'!$B$4:$B$1036,C24)</f>
        <v>321.89999999999998</v>
      </c>
      <c r="F24" s="36">
        <f>SUMIFS('ریز نقدینگی ارزی'!$F$4:$F$1036,'ریز نقدینگی ارزی'!$F$4:$F$1036,"&gt;0",'ریز نقدینگی ارزی'!$C$4:$C$1036,B24,'ریز نقدینگی ارزی'!$E$4:$E$1036,$F$18,'ریز نقدینگی ارزی'!$B$4:$B$1036,C24)-SUMIFS('ریز نقدینگی ارزی'!$G$4:$G$1036,'ریز نقدینگی ارزی'!$G$4:$G$1036,"&gt;0",'ریز نقدینگی ارزی'!$C$4:$C$1036,B24,'ریز نقدینگی ارزی'!$E$4:$E$1036,$F$18,'ریز نقدینگی ارزی'!$B$4:$B$1036,C24)</f>
        <v>0</v>
      </c>
      <c r="G24" s="36">
        <f>SUMIFS('ریز نقدینگی ارزی'!$F$4:$F$1036,'ریز نقدینگی ارزی'!$F$4:$F$1036,"&gt;0",'ریز نقدینگی ارزی'!$C$4:$C$1036,B24,'ریز نقدینگی ارزی'!$E$4:$E$1036,$G$18,'ریز نقدینگی ارزی'!$B$4:$B$1036,C24)-SUMIFS('ریز نقدینگی ارزی'!$G$4:$G$1036,'ریز نقدینگی ارزی'!$G$4:$G$1036,"&gt;0",'ریز نقدینگی ارزی'!$C$4:$C$1036,B24,'ریز نقدینگی ارزی'!$E$4:$E$1036,$G$18,'ریز نقدینگی ارزی'!$B$4:$B$1036,C24)</f>
        <v>0</v>
      </c>
      <c r="H24" s="36">
        <f>SUMIFS('ریز نقدینگی ارزی'!$F$4:$F$1036,'ریز نقدینگی ارزی'!$F$4:$F$1036,"&gt;0",'ریز نقدینگی ارزی'!$C$4:$C$1036,B24,'ریز نقدینگی ارزی'!$E$4:$E$1036,$H$18,'ریز نقدینگی ارزی'!$B$4:$B$1036,C24)-SUMIFS('ریز نقدینگی ارزی'!$G$4:$G$1036,'ریز نقدینگی ارزی'!$G$4:$G$1036,"&gt;0",'ریز نقدینگی ارزی'!$C$4:$C$1036,B24,'ریز نقدینگی ارزی'!$E$4:$E$1036,$H$18,'ریز نقدینگی ارزی'!$B$4:$B$1036,C24)</f>
        <v>0</v>
      </c>
      <c r="I24" s="36">
        <f>SUMIFS('ریز نقدینگی ارزی'!$F$4:$F$1036,'ریز نقدینگی ارزی'!$F$4:$F$1036,"&gt;0",'ریز نقدینگی ارزی'!$C$4:$C$1036,B24,'ریز نقدینگی ارزی'!$E$4:$E$1036,$I$18,'ریز نقدینگی ارزی'!$B$4:$B$1036,C24)-SUMIFS('ریز نقدینگی ارزی'!$G$4:$G$1036,'ریز نقدینگی ارزی'!$G$4:$G$1036,"&gt;0",'ریز نقدینگی ارزی'!$C$4:$C$1036,B24,'ریز نقدینگی ارزی'!$E$4:$E$1036,$I$18,'ریز نقدینگی ارزی'!$B$4:$B$1036,C24)</f>
        <v>0</v>
      </c>
      <c r="J24" s="36">
        <f>SUMIFS('ریز نقدینگی ارزی'!$F$4:$F$1036,'ریز نقدینگی ارزی'!$F$4:$F$1036,"&gt;0",'ریز نقدینگی ارزی'!$C$4:$C$1036,B24,'ریز نقدینگی ارزی'!$E$4:$E$1036,$J$18,'ریز نقدینگی ارزی'!$B$4:$B$1036,C24)-SUMIFS('ریز نقدینگی ارزی'!$G$4:$G$1036,'ریز نقدینگی ارزی'!$G$4:$G$1036,"&gt;0",'ریز نقدینگی ارزی'!$C$4:$C$1036,B24,'ریز نقدینگی ارزی'!$E$4:$E$1036,$J$18,'ریز نقدینگی ارزی'!$B$4:$B$1036,C24)</f>
        <v>0</v>
      </c>
      <c r="K24" s="35">
        <f>SUM(Table2[[#This Row],[تولید]:[مدیریت]])</f>
        <v>321.89999999999998</v>
      </c>
    </row>
    <row r="25" spans="1:11" ht="24" hidden="1">
      <c r="A25" s="137"/>
      <c r="B25" s="24" t="s">
        <v>156</v>
      </c>
      <c r="C25" s="23" t="s">
        <v>38</v>
      </c>
      <c r="D25" s="36">
        <f>SUMIFS('ریز نقدینگی ارزی'!$F$4:$F$1036,'ریز نقدینگی ارزی'!$F$4:$F$1036,"&gt;0",'ریز نقدینگی ارزی'!$C$4:$C$1036,B25,'ریز نقدینگی ارزی'!$E$4:$E$1036,$D$18,'ریز نقدینگی ارزی'!$B$4:$B$1036,C25)-SUMIFS('ریز نقدینگی ارزی'!$G$4:$G$1036,'ریز نقدینگی ارزی'!$G$4:$G$1036,"&gt;0",'ریز نقدینگی ارزی'!$C$4:$C$1036,B25,'ریز نقدینگی ارزی'!$E$4:$E$1036,$D$18,'ریز نقدینگی ارزی'!$B$4:$B$1036,C25)</f>
        <v>0</v>
      </c>
      <c r="E25" s="37">
        <f>SUMIFS('ریز نقدینگی ارزی'!$F$4:$F$1036,'ریز نقدینگی ارزی'!$F$4:$F$1036,"&gt;0",'ریز نقدینگی ارزی'!$C$4:$C$1036,B25,'ریز نقدینگی ارزی'!$E$4:$E$1036,$E$18,'ریز نقدینگی ارزی'!$B$4:$B$1036,C25)-SUMIFS('ریز نقدینگی ارزی'!$G$4:$G$1036,'ریز نقدینگی ارزی'!$G$4:$G$1036,"&gt;0",'ریز نقدینگی ارزی'!$C$4:$C$1036,B25,'ریز نقدینگی ارزی'!$E$4:$E$1036,$E$18,'ریز نقدینگی ارزی'!$B$4:$B$1036,C25)</f>
        <v>0</v>
      </c>
      <c r="F25" s="36">
        <f>SUMIFS('ریز نقدینگی ارزی'!$F$4:$F$1036,'ریز نقدینگی ارزی'!$F$4:$F$1036,"&gt;0",'ریز نقدینگی ارزی'!$C$4:$C$1036,B25,'ریز نقدینگی ارزی'!$E$4:$E$1036,$F$18,'ریز نقدینگی ارزی'!$B$4:$B$1036,C25)-SUMIFS('ریز نقدینگی ارزی'!$G$4:$G$1036,'ریز نقدینگی ارزی'!$G$4:$G$1036,"&gt;0",'ریز نقدینگی ارزی'!$C$4:$C$1036,B25,'ریز نقدینگی ارزی'!$E$4:$E$1036,$F$18,'ریز نقدینگی ارزی'!$B$4:$B$1036,C25)</f>
        <v>0</v>
      </c>
      <c r="G25" s="36">
        <f>SUMIFS('ریز نقدینگی ارزی'!$F$4:$F$1036,'ریز نقدینگی ارزی'!$F$4:$F$1036,"&gt;0",'ریز نقدینگی ارزی'!$C$4:$C$1036,B25,'ریز نقدینگی ارزی'!$E$4:$E$1036,$G$18,'ریز نقدینگی ارزی'!$B$4:$B$1036,C25)-SUMIFS('ریز نقدینگی ارزی'!$G$4:$G$1036,'ریز نقدینگی ارزی'!$G$4:$G$1036,"&gt;0",'ریز نقدینگی ارزی'!$C$4:$C$1036,B25,'ریز نقدینگی ارزی'!$E$4:$E$1036,$G$18,'ریز نقدینگی ارزی'!$B$4:$B$1036,C25)</f>
        <v>0</v>
      </c>
      <c r="H25" s="36">
        <f>SUMIFS('ریز نقدینگی ارزی'!$F$4:$F$1036,'ریز نقدینگی ارزی'!$F$4:$F$1036,"&gt;0",'ریز نقدینگی ارزی'!$C$4:$C$1036,B25,'ریز نقدینگی ارزی'!$E$4:$E$1036,$H$18,'ریز نقدینگی ارزی'!$B$4:$B$1036,C25)-SUMIFS('ریز نقدینگی ارزی'!$G$4:$G$1036,'ریز نقدینگی ارزی'!$G$4:$G$1036,"&gt;0",'ریز نقدینگی ارزی'!$C$4:$C$1036,B25,'ریز نقدینگی ارزی'!$E$4:$E$1036,$H$18,'ریز نقدینگی ارزی'!$B$4:$B$1036,C25)</f>
        <v>0</v>
      </c>
      <c r="I25" s="36">
        <f>SUMIFS('ریز نقدینگی ارزی'!$F$4:$F$1036,'ریز نقدینگی ارزی'!$F$4:$F$1036,"&gt;0",'ریز نقدینگی ارزی'!$C$4:$C$1036,B25,'ریز نقدینگی ارزی'!$E$4:$E$1036,$I$18,'ریز نقدینگی ارزی'!$B$4:$B$1036,C25)-SUMIFS('ریز نقدینگی ارزی'!$G$4:$G$1036,'ریز نقدینگی ارزی'!$G$4:$G$1036,"&gt;0",'ریز نقدینگی ارزی'!$C$4:$C$1036,B25,'ریز نقدینگی ارزی'!$E$4:$E$1036,$I$18,'ریز نقدینگی ارزی'!$B$4:$B$1036,C25)</f>
        <v>0</v>
      </c>
      <c r="J25" s="36">
        <f>SUMIFS('ریز نقدینگی ارزی'!$F$4:$F$1036,'ریز نقدینگی ارزی'!$F$4:$F$1036,"&gt;0",'ریز نقدینگی ارزی'!$C$4:$C$1036,B25,'ریز نقدینگی ارزی'!$E$4:$E$1036,$J$18,'ریز نقدینگی ارزی'!$B$4:$B$1036,C25)-SUMIFS('ریز نقدینگی ارزی'!$G$4:$G$1036,'ریز نقدینگی ارزی'!$G$4:$G$1036,"&gt;0",'ریز نقدینگی ارزی'!$C$4:$C$1036,B25,'ریز نقدینگی ارزی'!$E$4:$E$1036,$J$18,'ریز نقدینگی ارزی'!$B$4:$B$1036,C25)</f>
        <v>0</v>
      </c>
      <c r="K25" s="35">
        <f>SUM(Table2[[#This Row],[تولید]:[مدیریت]])</f>
        <v>0</v>
      </c>
    </row>
    <row r="26" spans="1:11" ht="24">
      <c r="A26" s="7"/>
      <c r="B26" s="24" t="s">
        <v>156</v>
      </c>
      <c r="C26" s="23" t="s">
        <v>37</v>
      </c>
      <c r="D26" s="36">
        <f>SUMIFS('ریز نقدینگی ارزی'!$F$4:$F$1036,'ریز نقدینگی ارزی'!$F$4:$F$1036,"&gt;0",'ریز نقدینگی ارزی'!$C$4:$C$1036,B26,'ریز نقدینگی ارزی'!$E$4:$E$1036,$D$18,'ریز نقدینگی ارزی'!$B$4:$B$1036,C26)-SUMIFS('ریز نقدینگی ارزی'!$G$4:$G$1036,'ریز نقدینگی ارزی'!$G$4:$G$1036,"&gt;0",'ریز نقدینگی ارزی'!$C$4:$C$1036,B26,'ریز نقدینگی ارزی'!$E$4:$E$1036,$D$18,'ریز نقدینگی ارزی'!$B$4:$B$1036,C26)</f>
        <v>7.1034482758620641</v>
      </c>
      <c r="E26" s="37">
        <f>SUMIFS('ریز نقدینگی ارزی'!$F$4:$F$1036,'ریز نقدینگی ارزی'!$F$4:$F$1036,"&gt;0",'ریز نقدینگی ارزی'!$C$4:$C$1036,B26,'ریز نقدینگی ارزی'!$E$4:$E$1036,$E$18,'ریز نقدینگی ارزی'!$B$4:$B$1036,C26)-SUMIFS('ریز نقدینگی ارزی'!$G$4:$G$1036,'ریز نقدینگی ارزی'!$G$4:$G$1036,"&gt;0",'ریز نقدینگی ارزی'!$C$4:$C$1036,B26,'ریز نقدینگی ارزی'!$E$4:$E$1036,$E$18,'ریز نقدینگی ارزی'!$B$4:$B$1036,C26)</f>
        <v>12.100000000000023</v>
      </c>
      <c r="F26" s="36">
        <f>SUMIFS('ریز نقدینگی ارزی'!$F$4:$F$1036,'ریز نقدینگی ارزی'!$F$4:$F$1036,"&gt;0",'ریز نقدینگی ارزی'!$C$4:$C$1036,B26,'ریز نقدینگی ارزی'!$E$4:$E$1036,$F$18,'ریز نقدینگی ارزی'!$B$4:$B$1036,C26)-SUMIFS('ریز نقدینگی ارزی'!$G$4:$G$1036,'ریز نقدینگی ارزی'!$G$4:$G$1036,"&gt;0",'ریز نقدینگی ارزی'!$C$4:$C$1036,B26,'ریز نقدینگی ارزی'!$E$4:$E$1036,$F$18,'ریز نقدینگی ارزی'!$B$4:$B$1036,C26)</f>
        <v>0</v>
      </c>
      <c r="G26" s="36">
        <f>SUMIFS('ریز نقدینگی ارزی'!$F$4:$F$1036,'ریز نقدینگی ارزی'!$F$4:$F$1036,"&gt;0",'ریز نقدینگی ارزی'!$C$4:$C$1036,B26,'ریز نقدینگی ارزی'!$E$4:$E$1036,$G$18,'ریز نقدینگی ارزی'!$B$4:$B$1036,C26)-SUMIFS('ریز نقدینگی ارزی'!$G$4:$G$1036,'ریز نقدینگی ارزی'!$G$4:$G$1036,"&gt;0",'ریز نقدینگی ارزی'!$C$4:$C$1036,B26,'ریز نقدینگی ارزی'!$E$4:$E$1036,$G$18,'ریز نقدینگی ارزی'!$B$4:$B$1036,C26)</f>
        <v>0</v>
      </c>
      <c r="H26" s="36">
        <f>SUMIFS('ریز نقدینگی ارزی'!$F$4:$F$1036,'ریز نقدینگی ارزی'!$F$4:$F$1036,"&gt;0",'ریز نقدینگی ارزی'!$C$4:$C$1036,B26,'ریز نقدینگی ارزی'!$E$4:$E$1036,$H$18,'ریز نقدینگی ارزی'!$B$4:$B$1036,C26)-SUMIFS('ریز نقدینگی ارزی'!$G$4:$G$1036,'ریز نقدینگی ارزی'!$G$4:$G$1036,"&gt;0",'ریز نقدینگی ارزی'!$C$4:$C$1036,B26,'ریز نقدینگی ارزی'!$E$4:$E$1036,$H$18,'ریز نقدینگی ارزی'!$B$4:$B$1036,C26)</f>
        <v>0</v>
      </c>
      <c r="I26" s="36">
        <f>SUMIFS('ریز نقدینگی ارزی'!$F$4:$F$1036,'ریز نقدینگی ارزی'!$F$4:$F$1036,"&gt;0",'ریز نقدینگی ارزی'!$C$4:$C$1036,B26,'ریز نقدینگی ارزی'!$E$4:$E$1036,$I$18,'ریز نقدینگی ارزی'!$B$4:$B$1036,C26)-SUMIFS('ریز نقدینگی ارزی'!$G$4:$G$1036,'ریز نقدینگی ارزی'!$G$4:$G$1036,"&gt;0",'ریز نقدینگی ارزی'!$C$4:$C$1036,B26,'ریز نقدینگی ارزی'!$E$4:$E$1036,$I$18,'ریز نقدینگی ارزی'!$B$4:$B$1036,C26)</f>
        <v>0</v>
      </c>
      <c r="J26" s="36">
        <f>SUMIFS('ریز نقدینگی ارزی'!$F$4:$F$1036,'ریز نقدینگی ارزی'!$F$4:$F$1036,"&gt;0",'ریز نقدینگی ارزی'!$C$4:$C$1036,B26,'ریز نقدینگی ارزی'!$E$4:$E$1036,$J$18,'ریز نقدینگی ارزی'!$B$4:$B$1036,C26)-SUMIFS('ریز نقدینگی ارزی'!$G$4:$G$1036,'ریز نقدینگی ارزی'!$G$4:$G$1036,"&gt;0",'ریز نقدینگی ارزی'!$C$4:$C$1036,B26,'ریز نقدینگی ارزی'!$E$4:$E$1036,$J$18,'ریز نقدینگی ارزی'!$B$4:$B$1036,C26)</f>
        <v>0</v>
      </c>
      <c r="K26" s="35">
        <f>SUM(Table2[[#This Row],[تولید]:[مدیریت]])</f>
        <v>19.203448275862087</v>
      </c>
    </row>
    <row r="27" spans="1:11" ht="24" hidden="1">
      <c r="A27" s="7"/>
      <c r="B27" s="48" t="s">
        <v>24</v>
      </c>
      <c r="C27" s="23" t="s">
        <v>157</v>
      </c>
      <c r="D27" s="36"/>
      <c r="E27" s="37"/>
      <c r="F27" s="36"/>
      <c r="G27" s="36"/>
      <c r="H27" s="36"/>
      <c r="I27" s="36"/>
      <c r="J27" s="36"/>
      <c r="K27" s="35">
        <f>'ریز نقدینگی ارزی'!M66+'ریز نقدینگی ارزی'!M70</f>
        <v>0</v>
      </c>
    </row>
    <row r="28" spans="1:11" ht="24" hidden="1">
      <c r="A28" s="7"/>
      <c r="B28" s="48" t="s">
        <v>24</v>
      </c>
      <c r="C28" s="135" t="s">
        <v>158</v>
      </c>
      <c r="D28" s="36"/>
      <c r="E28" s="37"/>
      <c r="F28" s="36"/>
      <c r="G28" s="36"/>
      <c r="H28" s="36"/>
      <c r="I28" s="36"/>
      <c r="J28" s="36"/>
      <c r="K28" s="35">
        <f>'ریز نقدینگی ارزی'!M67+'ریز نقدینگی ارزی'!M71</f>
        <v>0</v>
      </c>
    </row>
    <row r="29" spans="1:11" ht="24" hidden="1">
      <c r="A29" s="7"/>
      <c r="B29" s="48" t="s">
        <v>24</v>
      </c>
      <c r="C29" s="23" t="s">
        <v>38</v>
      </c>
      <c r="D29" s="36"/>
      <c r="E29" s="37"/>
      <c r="F29" s="36"/>
      <c r="G29" s="36"/>
      <c r="H29" s="36"/>
      <c r="I29" s="36"/>
      <c r="J29" s="36"/>
      <c r="K29" s="35">
        <f>'ریز نقدینگی ارزی'!M64+'ریز نقدینگی ارزی'!M68</f>
        <v>0</v>
      </c>
    </row>
    <row r="30" spans="1:11" ht="24">
      <c r="A30" s="7"/>
      <c r="B30" s="48" t="s">
        <v>24</v>
      </c>
      <c r="C30" s="23" t="s">
        <v>37</v>
      </c>
      <c r="D30" s="36"/>
      <c r="E30" s="37"/>
      <c r="F30" s="36"/>
      <c r="G30" s="36"/>
      <c r="H30" s="36"/>
      <c r="I30" s="36"/>
      <c r="J30" s="36"/>
      <c r="K30" s="35">
        <f>'ریز نقدینگی ارزی'!M65+'ریز نقدینگی ارزی'!M69</f>
        <v>257</v>
      </c>
    </row>
    <row r="31" spans="1:11">
      <c r="A31" s="7"/>
      <c r="B31" s="8"/>
      <c r="C31" s="8"/>
      <c r="D31" s="9"/>
      <c r="E31" s="9"/>
      <c r="G31" s="33"/>
      <c r="H31" s="34"/>
      <c r="I31" s="11"/>
      <c r="J31" s="11"/>
    </row>
    <row r="32" spans="1:11" ht="24">
      <c r="A32" s="7"/>
      <c r="B32" s="9"/>
      <c r="C32" s="9"/>
      <c r="D32" s="9"/>
      <c r="E32" s="72"/>
      <c r="F32" s="178" t="s">
        <v>123</v>
      </c>
      <c r="G32" s="171" t="s">
        <v>174</v>
      </c>
      <c r="H32" s="172"/>
      <c r="I32" s="170">
        <f>K19+K23</f>
        <v>835.2</v>
      </c>
      <c r="J32" s="170"/>
      <c r="K32" s="126"/>
    </row>
    <row r="33" spans="1:12" ht="24">
      <c r="A33" s="7"/>
      <c r="B33" s="9"/>
      <c r="C33" s="9"/>
      <c r="D33" s="9"/>
      <c r="E33" s="72"/>
      <c r="F33" s="179"/>
      <c r="G33" s="171" t="s">
        <v>175</v>
      </c>
      <c r="H33" s="172"/>
      <c r="I33" s="170">
        <f>K20+K24</f>
        <v>321.89999999999998</v>
      </c>
      <c r="J33" s="170"/>
      <c r="K33" s="126"/>
    </row>
    <row r="34" spans="1:12" ht="24">
      <c r="B34" s="9"/>
      <c r="C34" s="40"/>
      <c r="D34" s="40"/>
      <c r="E34" s="72"/>
      <c r="F34" s="179"/>
      <c r="G34" s="171" t="s">
        <v>176</v>
      </c>
      <c r="H34" s="172"/>
      <c r="I34" s="170">
        <f>K21+K25</f>
        <v>1012.27</v>
      </c>
      <c r="J34" s="170"/>
      <c r="K34" s="9"/>
    </row>
    <row r="35" spans="1:12" ht="24">
      <c r="B35" s="9"/>
      <c r="D35" s="40"/>
      <c r="E35" s="73"/>
      <c r="F35" s="180"/>
      <c r="G35" s="171" t="s">
        <v>177</v>
      </c>
      <c r="H35" s="172"/>
      <c r="I35" s="170">
        <f>K22+K26</f>
        <v>952.20344827586212</v>
      </c>
      <c r="J35" s="170"/>
      <c r="K35" s="9"/>
    </row>
    <row r="36" spans="1:12">
      <c r="B36" s="9"/>
      <c r="D36" s="40"/>
      <c r="E36" s="40"/>
      <c r="F36" s="13"/>
      <c r="G36" s="11"/>
      <c r="H36" s="11"/>
      <c r="I36" s="13"/>
      <c r="J36" s="13"/>
    </row>
    <row r="37" spans="1:12" ht="24">
      <c r="A37" s="7"/>
      <c r="B37" s="4"/>
      <c r="C37" s="4"/>
      <c r="E37" s="7"/>
      <c r="F37" s="181" t="s">
        <v>11</v>
      </c>
      <c r="G37" s="187" t="s">
        <v>170</v>
      </c>
      <c r="H37" s="188"/>
      <c r="I37" s="169">
        <f>'ریز نقدینگی ارزی'!M62-K27</f>
        <v>124.79999999999995</v>
      </c>
      <c r="J37" s="169"/>
    </row>
    <row r="38" spans="1:12" ht="24">
      <c r="B38" s="4"/>
      <c r="C38" s="4"/>
      <c r="E38" s="7"/>
      <c r="F38" s="182"/>
      <c r="G38" s="187" t="s">
        <v>171</v>
      </c>
      <c r="H38" s="188"/>
      <c r="I38" s="169">
        <f>'ریز نقدینگی ارزی'!M63-K28</f>
        <v>48.100000000000023</v>
      </c>
      <c r="J38" s="169"/>
      <c r="K38" s="122"/>
    </row>
    <row r="39" spans="1:12" ht="24">
      <c r="A39" s="7"/>
      <c r="B39" s="4"/>
      <c r="C39" s="4"/>
      <c r="E39" s="74"/>
      <c r="F39" s="182"/>
      <c r="G39" s="187" t="s">
        <v>172</v>
      </c>
      <c r="H39" s="188"/>
      <c r="I39" s="169">
        <f>'ریز نقدینگی ارزی'!M60-K29</f>
        <v>67.730000000000018</v>
      </c>
      <c r="J39" s="169"/>
    </row>
    <row r="40" spans="1:12" ht="24">
      <c r="B40" s="4"/>
      <c r="C40" s="4"/>
      <c r="E40" s="75"/>
      <c r="F40" s="183"/>
      <c r="G40" s="187" t="s">
        <v>173</v>
      </c>
      <c r="H40" s="188"/>
      <c r="I40" s="169">
        <f>'ریز نقدینگی ارزی'!M61-K30</f>
        <v>69.796551724137885</v>
      </c>
      <c r="J40" s="169"/>
    </row>
    <row r="41" spans="1:12">
      <c r="A41" s="7"/>
      <c r="B41" s="4"/>
      <c r="C41" s="4"/>
      <c r="E41" s="13"/>
      <c r="F41" s="13"/>
      <c r="G41" s="13"/>
      <c r="H41" s="13"/>
      <c r="I41" s="13"/>
      <c r="J41" s="13"/>
    </row>
    <row r="42" spans="1:12" ht="24">
      <c r="A42" s="7"/>
      <c r="E42" s="71"/>
      <c r="F42" s="175" t="s">
        <v>8</v>
      </c>
      <c r="G42" s="189" t="s">
        <v>166</v>
      </c>
      <c r="H42" s="190"/>
      <c r="I42" s="164">
        <v>16</v>
      </c>
      <c r="J42" s="165"/>
    </row>
    <row r="43" spans="1:12" ht="24">
      <c r="A43" s="7"/>
      <c r="E43" s="71"/>
      <c r="F43" s="176"/>
      <c r="G43" s="189" t="s">
        <v>167</v>
      </c>
      <c r="H43" s="190"/>
      <c r="I43" s="164">
        <v>17</v>
      </c>
      <c r="J43" s="165"/>
    </row>
    <row r="44" spans="1:12" ht="24">
      <c r="E44" s="71"/>
      <c r="F44" s="176"/>
      <c r="G44" s="189" t="s">
        <v>168</v>
      </c>
      <c r="H44" s="190"/>
      <c r="I44" s="173">
        <v>56</v>
      </c>
      <c r="J44" s="174"/>
    </row>
    <row r="45" spans="1:12" ht="24">
      <c r="D45" s="5"/>
      <c r="E45" s="71"/>
      <c r="F45" s="177"/>
      <c r="G45" s="189" t="s">
        <v>169</v>
      </c>
      <c r="H45" s="190"/>
      <c r="I45" s="164">
        <v>138</v>
      </c>
      <c r="J45" s="165">
        <v>181225.54999999702</v>
      </c>
      <c r="K45" s="119"/>
    </row>
    <row r="46" spans="1:12">
      <c r="F46" s="13"/>
      <c r="L46" s="51"/>
    </row>
    <row r="47" spans="1:12" ht="24">
      <c r="D47" s="5"/>
      <c r="E47" s="71"/>
      <c r="F47" s="184" t="s">
        <v>124</v>
      </c>
      <c r="G47" s="167" t="s">
        <v>162</v>
      </c>
      <c r="H47" s="168"/>
      <c r="I47" s="166">
        <f>I32+I37+I42</f>
        <v>976</v>
      </c>
      <c r="J47" s="166"/>
      <c r="K47" s="127"/>
      <c r="L47" s="51"/>
    </row>
    <row r="48" spans="1:12" ht="24">
      <c r="B48" s="8"/>
      <c r="C48" s="8"/>
      <c r="D48" s="8"/>
      <c r="E48" s="155"/>
      <c r="F48" s="185"/>
      <c r="G48" s="167" t="s">
        <v>163</v>
      </c>
      <c r="H48" s="168"/>
      <c r="I48" s="166">
        <f>I33+I38+I43</f>
        <v>387</v>
      </c>
      <c r="J48" s="166"/>
      <c r="K48" s="127"/>
      <c r="L48" s="51"/>
    </row>
    <row r="49" spans="2:13" ht="24">
      <c r="B49" s="8"/>
      <c r="C49" s="8"/>
      <c r="D49" s="12"/>
      <c r="E49" s="76"/>
      <c r="F49" s="185"/>
      <c r="G49" s="167" t="s">
        <v>164</v>
      </c>
      <c r="H49" s="168"/>
      <c r="I49" s="166">
        <f>I34+I39+I44</f>
        <v>1136</v>
      </c>
      <c r="J49" s="166"/>
      <c r="K49" s="51"/>
      <c r="L49" s="158"/>
      <c r="M49" s="158"/>
    </row>
    <row r="50" spans="2:13" ht="24">
      <c r="D50" s="51"/>
      <c r="E50" s="77"/>
      <c r="F50" s="186"/>
      <c r="G50" s="167" t="s">
        <v>165</v>
      </c>
      <c r="H50" s="168"/>
      <c r="I50" s="166">
        <f>I35+I40+I45</f>
        <v>1160</v>
      </c>
      <c r="J50" s="166"/>
      <c r="K50" s="51"/>
      <c r="L50" s="158"/>
      <c r="M50" s="158"/>
    </row>
    <row r="51" spans="2:13">
      <c r="D51" s="5"/>
      <c r="E51" s="41"/>
      <c r="F51" s="12"/>
      <c r="G51" s="13"/>
      <c r="H51" s="13"/>
      <c r="I51" s="13"/>
      <c r="J51" s="13"/>
    </row>
    <row r="52" spans="2:13">
      <c r="H52" s="6"/>
      <c r="I52" s="6"/>
    </row>
    <row r="53" spans="2:13">
      <c r="F53" s="6"/>
      <c r="H53" s="6"/>
    </row>
  </sheetData>
  <protectedRanges>
    <protectedRange sqref="B23:B26" name="Range1_1"/>
  </protectedRanges>
  <mergeCells count="36">
    <mergeCell ref="F32:F35"/>
    <mergeCell ref="F37:F40"/>
    <mergeCell ref="F47:F50"/>
    <mergeCell ref="G32:H32"/>
    <mergeCell ref="G38:H38"/>
    <mergeCell ref="G40:H40"/>
    <mergeCell ref="G37:H37"/>
    <mergeCell ref="G39:H39"/>
    <mergeCell ref="G42:H42"/>
    <mergeCell ref="G44:H44"/>
    <mergeCell ref="G33:H33"/>
    <mergeCell ref="G43:H43"/>
    <mergeCell ref="G48:H48"/>
    <mergeCell ref="G45:H45"/>
    <mergeCell ref="G49:H49"/>
    <mergeCell ref="I40:J40"/>
    <mergeCell ref="I50:J50"/>
    <mergeCell ref="I44:J44"/>
    <mergeCell ref="I49:J49"/>
    <mergeCell ref="F42:F45"/>
    <mergeCell ref="I37:J37"/>
    <mergeCell ref="I39:J39"/>
    <mergeCell ref="I32:J32"/>
    <mergeCell ref="G34:H34"/>
    <mergeCell ref="I34:J34"/>
    <mergeCell ref="G35:H35"/>
    <mergeCell ref="I35:J35"/>
    <mergeCell ref="I33:J33"/>
    <mergeCell ref="I38:J38"/>
    <mergeCell ref="I45:J45"/>
    <mergeCell ref="I42:J42"/>
    <mergeCell ref="I43:J43"/>
    <mergeCell ref="I48:J48"/>
    <mergeCell ref="G50:H50"/>
    <mergeCell ref="G47:H47"/>
    <mergeCell ref="I47:J47"/>
  </mergeCells>
  <phoneticPr fontId="3" type="noConversion"/>
  <pageMargins left="0.7" right="0.7" top="0.75" bottom="0.75" header="0.3" footer="0.3"/>
  <pageSetup orientation="portrait" horizontalDpi="300" verticalDpi="3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E538-3EE1-47BB-BD5B-0283DEC9997A}">
  <dimension ref="B1:N191"/>
  <sheetViews>
    <sheetView rightToLeft="1" zoomScale="120" zoomScaleNormal="120" workbookViewId="0">
      <selection activeCell="A10" sqref="A10"/>
    </sheetView>
  </sheetViews>
  <sheetFormatPr defaultRowHeight="17.25" customHeight="1"/>
  <cols>
    <col min="1" max="1" width="9.140625" style="2"/>
    <col min="2" max="2" width="12.140625" style="2" bestFit="1" customWidth="1"/>
    <col min="3" max="3" width="9.140625" style="2" bestFit="1" customWidth="1"/>
    <col min="4" max="5" width="12.5703125" style="2" bestFit="1" customWidth="1"/>
    <col min="6" max="6" width="5.42578125" style="2" bestFit="1" customWidth="1"/>
    <col min="7" max="8" width="11.28515625" style="2" bestFit="1" customWidth="1"/>
    <col min="9" max="9" width="12.7109375" style="2" bestFit="1" customWidth="1"/>
    <col min="10" max="10" width="11.5703125" style="2" bestFit="1" customWidth="1"/>
    <col min="11" max="12" width="13.42578125" style="2" bestFit="1" customWidth="1"/>
    <col min="13" max="13" width="10.7109375" style="2" bestFit="1" customWidth="1"/>
    <col min="14" max="14" width="9" style="2" bestFit="1" customWidth="1"/>
    <col min="15" max="16384" width="9.140625" style="2"/>
  </cols>
  <sheetData>
    <row r="1" spans="2:14" ht="17.25" customHeight="1">
      <c r="H1" s="3"/>
    </row>
    <row r="2" spans="2:14" ht="17.25" customHeight="1">
      <c r="B2" s="193" t="s">
        <v>159</v>
      </c>
      <c r="C2" s="194"/>
      <c r="D2" s="195"/>
    </row>
    <row r="3" spans="2:14" ht="17.25" customHeight="1">
      <c r="H3" s="3"/>
    </row>
    <row r="4" spans="2:14" ht="17.25" customHeight="1">
      <c r="B4" s="53" t="s">
        <v>160</v>
      </c>
      <c r="D4" s="3"/>
    </row>
    <row r="5" spans="2:14" ht="36.75" customHeight="1">
      <c r="B5" s="138" t="s">
        <v>17</v>
      </c>
      <c r="C5" s="138" t="s">
        <v>120</v>
      </c>
      <c r="D5" s="139" t="s">
        <v>111</v>
      </c>
      <c r="E5" s="139" t="s">
        <v>112</v>
      </c>
      <c r="F5" s="138" t="s">
        <v>51</v>
      </c>
      <c r="G5" s="140" t="s">
        <v>113</v>
      </c>
      <c r="H5" s="140" t="s">
        <v>114</v>
      </c>
      <c r="I5" s="140" t="s">
        <v>115</v>
      </c>
      <c r="J5" s="140" t="s">
        <v>116</v>
      </c>
      <c r="K5" s="138" t="s">
        <v>117</v>
      </c>
      <c r="L5" s="138" t="s">
        <v>118</v>
      </c>
      <c r="M5" s="141" t="s">
        <v>119</v>
      </c>
      <c r="N5" s="141" t="s">
        <v>18</v>
      </c>
    </row>
    <row r="6" spans="2:14" ht="17.25" customHeight="1">
      <c r="B6" s="67" t="s">
        <v>148</v>
      </c>
      <c r="C6" s="58" t="s">
        <v>6</v>
      </c>
      <c r="D6" s="55" t="s">
        <v>0</v>
      </c>
      <c r="E6" s="56" t="s">
        <v>148</v>
      </c>
      <c r="F6" s="56" t="s">
        <v>37</v>
      </c>
      <c r="G6" s="62">
        <f>SUMIFS('ریز گزارش ارزی'!$AC$8:$AC$63,'ریز گزارش ارزی'!$AC$8:$AC$63,"&gt;0",'ریز گزارش ارزی'!$AG$8:$AG$63,"قرض",'ریز گزارش ارزی'!$H$8:$H$63,F6,'ریز گزارش ارزی'!$F$8:$F$63,B6,'ریز گزارش ارزی'!$G$8:$G$63,C6,'ریز گزارش ارزی'!$AO$8:$AO$63,D6,'ریز گزارش ارزی'!$AP$8:$AP$63,E6)</f>
        <v>80</v>
      </c>
      <c r="H6" s="62">
        <f>SUMIFS('ریز گزارش ارزی'!$AD$8:$AD$63,'ریز گزارش ارزی'!$AD$8:$AD$63,"&gt;0",'ریز گزارش ارزی'!$AG$8:$AG$63,"قرض",'ریز گزارش ارزی'!$H$8:$H$63,F6,'ریز گزارش ارزی'!$F$8:$F$63,B6,'ریز گزارش ارزی'!$G$8:$G$63,C6,'ریز گزارش ارزی'!$AO$8:$AO$63,D6,'ریز گزارش ارزی'!$AP$8:$AP$63,E6)</f>
        <v>0</v>
      </c>
      <c r="I6" s="62">
        <f>SUMIFS('ریز گزارش ارزی'!$AC$8:$AC$63,'ریز گزارش ارزی'!$AC$8:$AC$63,"&gt;0",'ریز گزارش ارزی'!$AG$8:$AG$63,"عودت قرض",'ریز گزارش ارزی'!$H$8:$H$63,F6,'ریز گزارش ارزی'!$F$8:$F$63,B6,'ریز گزارش ارزی'!$G$8:$G$63,C6,'ریز گزارش ارزی'!$AO$8:$AO$63,D6,'ریز گزارش ارزی'!$AP$8:$AP$63,E6)</f>
        <v>0</v>
      </c>
      <c r="J6" s="62">
        <f>SUMIFS('ریز گزارش ارزی'!$AD$8:$AD$63,'ریز گزارش ارزی'!$AD$8:$AD$63,"&gt;0",'ریز گزارش ارزی'!$AG$8:$AG$63,"عودت قرض",'ریز گزارش ارزی'!$H$8:$H$63,F6,'ریز گزارش ارزی'!$F$8:$F$63,B6,'ریز گزارش ارزی'!$G$8:$G$63,C6,'ریز گزارش ارزی'!$AO$8:$AO$63,D6,'ریز گزارش ارزی'!$AP$8:$AP$63,E6)</f>
        <v>0</v>
      </c>
      <c r="K6" s="63">
        <f>H6-I6</f>
        <v>0</v>
      </c>
      <c r="L6" s="63">
        <f t="shared" ref="L6" si="0">G6-J6</f>
        <v>80</v>
      </c>
      <c r="M6" s="64">
        <f>K6-L6</f>
        <v>-80</v>
      </c>
      <c r="N6" s="65" t="str">
        <f t="shared" ref="N6" si="1">IF(M6=0,"بی‌حساب",IF(M6&gt;0,"طلبکار","بدهکار"))</f>
        <v>بدهکار</v>
      </c>
    </row>
    <row r="7" spans="2:14" ht="17.25" customHeight="1">
      <c r="B7" s="67" t="s">
        <v>148</v>
      </c>
      <c r="C7" s="58" t="s">
        <v>6</v>
      </c>
      <c r="D7" s="55" t="s">
        <v>1</v>
      </c>
      <c r="E7" s="56" t="s">
        <v>148</v>
      </c>
      <c r="F7" s="56" t="s">
        <v>37</v>
      </c>
      <c r="G7" s="62">
        <f>SUMIFS('ریز گزارش ارزی'!$AC$8:$AC$63,'ریز گزارش ارزی'!$AC$8:$AC$63,"&gt;0",'ریز گزارش ارزی'!$AG$8:$AG$63,"قرض",'ریز گزارش ارزی'!$H$8:$H$63,F7,'ریز گزارش ارزی'!$F$8:$F$63,B7,'ریز گزارش ارزی'!$G$8:$G$63,C7,'ریز گزارش ارزی'!$AO$8:$AO$63,D7,'ریز گزارش ارزی'!$AP$8:$AP$63,E7)</f>
        <v>0</v>
      </c>
      <c r="H7" s="62">
        <f>SUMIFS('ریز گزارش ارزی'!$AD$8:$AD$63,'ریز گزارش ارزی'!$AD$8:$AD$63,"&gt;0",'ریز گزارش ارزی'!$AG$8:$AG$63,"قرض",'ریز گزارش ارزی'!$H$8:$H$63,F7,'ریز گزارش ارزی'!$F$8:$F$63,B7,'ریز گزارش ارزی'!$G$8:$G$63,C7,'ریز گزارش ارزی'!$AO$8:$AO$63,D7,'ریز گزارش ارزی'!$AP$8:$AP$63,E7)</f>
        <v>0</v>
      </c>
      <c r="I7" s="62">
        <f>SUMIFS('ریز گزارش ارزی'!$AC$8:$AC$63,'ریز گزارش ارزی'!$AC$8:$AC$63,"&gt;0",'ریز گزارش ارزی'!$AG$8:$AG$63,"عودت قرض",'ریز گزارش ارزی'!$H$8:$H$63,F7,'ریز گزارش ارزی'!$F$8:$F$63,B7,'ریز گزارش ارزی'!$G$8:$G$63,C7,'ریز گزارش ارزی'!$AO$8:$AO$63,D7,'ریز گزارش ارزی'!$AP$8:$AP$63,E7)</f>
        <v>0</v>
      </c>
      <c r="J7" s="62">
        <f>SUMIFS('ریز گزارش ارزی'!$AD$8:$AD$63,'ریز گزارش ارزی'!$AD$8:$AD$63,"&gt;0",'ریز گزارش ارزی'!$AG$8:$AG$63,"عودت قرض",'ریز گزارش ارزی'!$H$8:$H$63,F7,'ریز گزارش ارزی'!$F$8:$F$63,B7,'ریز گزارش ارزی'!$G$8:$G$63,C7,'ریز گزارش ارزی'!$AO$8:$AO$63,D7,'ریز گزارش ارزی'!$AP$8:$AP$63,E7)</f>
        <v>0</v>
      </c>
      <c r="K7" s="63">
        <f t="shared" ref="K7:K17" si="2">H7-I7</f>
        <v>0</v>
      </c>
      <c r="L7" s="63">
        <f t="shared" ref="L7:L17" si="3">G7-J7</f>
        <v>0</v>
      </c>
      <c r="M7" s="64">
        <f t="shared" ref="M7:M17" si="4">K7-L7</f>
        <v>0</v>
      </c>
      <c r="N7" s="65" t="str">
        <f t="shared" ref="N7:N17" si="5">IF(M7=0,"بی‌حساب",IF(M7&gt;0,"طلبکار","بدهکار"))</f>
        <v>بی‌حساب</v>
      </c>
    </row>
    <row r="8" spans="2:14" ht="17.25" customHeight="1">
      <c r="B8" s="67" t="s">
        <v>148</v>
      </c>
      <c r="C8" s="58" t="s">
        <v>6</v>
      </c>
      <c r="D8" s="55" t="s">
        <v>3</v>
      </c>
      <c r="E8" s="56" t="s">
        <v>148</v>
      </c>
      <c r="F8" s="56" t="s">
        <v>37</v>
      </c>
      <c r="G8" s="62">
        <f>SUMIFS('ریز گزارش ارزی'!$AC$8:$AC$63,'ریز گزارش ارزی'!$AC$8:$AC$63,"&gt;0",'ریز گزارش ارزی'!$AG$8:$AG$63,"قرض",'ریز گزارش ارزی'!$H$8:$H$63,F8,'ریز گزارش ارزی'!$F$8:$F$63,B8,'ریز گزارش ارزی'!$G$8:$G$63,C8,'ریز گزارش ارزی'!$AO$8:$AO$63,D8,'ریز گزارش ارزی'!$AP$8:$AP$63,E8)</f>
        <v>0</v>
      </c>
      <c r="H8" s="62">
        <f>SUMIFS('ریز گزارش ارزی'!$AD$8:$AD$63,'ریز گزارش ارزی'!$AD$8:$AD$63,"&gt;0",'ریز گزارش ارزی'!$AG$8:$AG$63,"قرض",'ریز گزارش ارزی'!$H$8:$H$63,F8,'ریز گزارش ارزی'!$F$8:$F$63,B8,'ریز گزارش ارزی'!$G$8:$G$63,C8,'ریز گزارش ارزی'!$AO$8:$AO$63,D8,'ریز گزارش ارزی'!$AP$8:$AP$63,E8)</f>
        <v>0</v>
      </c>
      <c r="I8" s="62">
        <f>SUMIFS('ریز گزارش ارزی'!$AC$8:$AC$63,'ریز گزارش ارزی'!$AC$8:$AC$63,"&gt;0",'ریز گزارش ارزی'!$AG$8:$AG$63,"عودت قرض",'ریز گزارش ارزی'!$H$8:$H$63,F8,'ریز گزارش ارزی'!$F$8:$F$63,B8,'ریز گزارش ارزی'!$G$8:$G$63,C8,'ریز گزارش ارزی'!$AO$8:$AO$63,D8,'ریز گزارش ارزی'!$AP$8:$AP$63,E8)</f>
        <v>0</v>
      </c>
      <c r="J8" s="62">
        <f>SUMIFS('ریز گزارش ارزی'!$AD$8:$AD$63,'ریز گزارش ارزی'!$AD$8:$AD$63,"&gt;0",'ریز گزارش ارزی'!$AG$8:$AG$63,"عودت قرض",'ریز گزارش ارزی'!$H$8:$H$63,F8,'ریز گزارش ارزی'!$F$8:$F$63,B8,'ریز گزارش ارزی'!$G$8:$G$63,C8,'ریز گزارش ارزی'!$AO$8:$AO$63,D8,'ریز گزارش ارزی'!$AP$8:$AP$63,E8)</f>
        <v>0</v>
      </c>
      <c r="K8" s="63">
        <f t="shared" si="2"/>
        <v>0</v>
      </c>
      <c r="L8" s="63">
        <f t="shared" si="3"/>
        <v>0</v>
      </c>
      <c r="M8" s="64">
        <f t="shared" si="4"/>
        <v>0</v>
      </c>
      <c r="N8" s="65" t="str">
        <f t="shared" si="5"/>
        <v>بی‌حساب</v>
      </c>
    </row>
    <row r="9" spans="2:14" ht="17.25" customHeight="1">
      <c r="B9" s="67" t="s">
        <v>148</v>
      </c>
      <c r="C9" s="58" t="s">
        <v>6</v>
      </c>
      <c r="D9" s="55" t="s">
        <v>9</v>
      </c>
      <c r="E9" s="56" t="s">
        <v>148</v>
      </c>
      <c r="F9" s="56" t="s">
        <v>37</v>
      </c>
      <c r="G9" s="62">
        <f>SUMIFS('ریز گزارش ارزی'!$AC$8:$AC$63,'ریز گزارش ارزی'!$AC$8:$AC$63,"&gt;0",'ریز گزارش ارزی'!$AG$8:$AG$63,"قرض",'ریز گزارش ارزی'!$H$8:$H$63,F9,'ریز گزارش ارزی'!$F$8:$F$63,B9,'ریز گزارش ارزی'!$G$8:$G$63,C9,'ریز گزارش ارزی'!$AO$8:$AO$63,D9,'ریز گزارش ارزی'!$AP$8:$AP$63,E9)</f>
        <v>0</v>
      </c>
      <c r="H9" s="62">
        <f>SUMIFS('ریز گزارش ارزی'!$AD$8:$AD$63,'ریز گزارش ارزی'!$AD$8:$AD$63,"&gt;0",'ریز گزارش ارزی'!$AG$8:$AG$63,"قرض",'ریز گزارش ارزی'!$H$8:$H$63,F9,'ریز گزارش ارزی'!$F$8:$F$63,B9,'ریز گزارش ارزی'!$G$8:$G$63,C9,'ریز گزارش ارزی'!$AO$8:$AO$63,D9,'ریز گزارش ارزی'!$AP$8:$AP$63,E9)</f>
        <v>14</v>
      </c>
      <c r="I9" s="62">
        <f>SUMIFS('ریز گزارش ارزی'!$AC$8:$AC$63,'ریز گزارش ارزی'!$AC$8:$AC$63,"&gt;0",'ریز گزارش ارزی'!$AG$8:$AG$63,"عودت قرض",'ریز گزارش ارزی'!$H$8:$H$63,F9,'ریز گزارش ارزی'!$F$8:$F$63,B9,'ریز گزارش ارزی'!$G$8:$G$63,C9,'ریز گزارش ارزی'!$AO$8:$AO$63,D9,'ریز گزارش ارزی'!$AP$8:$AP$63,E9)</f>
        <v>0</v>
      </c>
      <c r="J9" s="62">
        <f>SUMIFS('ریز گزارش ارزی'!$AD$8:$AD$63,'ریز گزارش ارزی'!$AD$8:$AD$63,"&gt;0",'ریز گزارش ارزی'!$AG$8:$AG$63,"عودت قرض",'ریز گزارش ارزی'!$H$8:$H$63,F9,'ریز گزارش ارزی'!$F$8:$F$63,B9,'ریز گزارش ارزی'!$G$8:$G$63,C9,'ریز گزارش ارزی'!$AO$8:$AO$63,D9,'ریز گزارش ارزی'!$AP$8:$AP$63,E9)</f>
        <v>0</v>
      </c>
      <c r="K9" s="63">
        <f t="shared" si="2"/>
        <v>14</v>
      </c>
      <c r="L9" s="63">
        <f t="shared" si="3"/>
        <v>0</v>
      </c>
      <c r="M9" s="64">
        <f t="shared" si="4"/>
        <v>14</v>
      </c>
      <c r="N9" s="65" t="str">
        <f t="shared" si="5"/>
        <v>طلبکار</v>
      </c>
    </row>
    <row r="10" spans="2:14" ht="17.25" customHeight="1">
      <c r="B10" s="67" t="s">
        <v>148</v>
      </c>
      <c r="C10" s="58" t="s">
        <v>6</v>
      </c>
      <c r="D10" s="55" t="s">
        <v>14</v>
      </c>
      <c r="E10" s="56" t="s">
        <v>148</v>
      </c>
      <c r="F10" s="56" t="s">
        <v>37</v>
      </c>
      <c r="G10" s="62">
        <f>SUMIFS('ریز گزارش ارزی'!$AC$8:$AC$63,'ریز گزارش ارزی'!$AC$8:$AC$63,"&gt;0",'ریز گزارش ارزی'!$AG$8:$AG$63,"قرض",'ریز گزارش ارزی'!$H$8:$H$63,F10,'ریز گزارش ارزی'!$F$8:$F$63,B10,'ریز گزارش ارزی'!$G$8:$G$63,C10,'ریز گزارش ارزی'!$AO$8:$AO$63,D10,'ریز گزارش ارزی'!$AP$8:$AP$63,E10)</f>
        <v>0</v>
      </c>
      <c r="H10" s="62">
        <f>SUMIFS('ریز گزارش ارزی'!$AD$8:$AD$63,'ریز گزارش ارزی'!$AD$8:$AD$63,"&gt;0",'ریز گزارش ارزی'!$AG$8:$AG$63,"قرض",'ریز گزارش ارزی'!$H$8:$H$63,F10,'ریز گزارش ارزی'!$F$8:$F$63,B10,'ریز گزارش ارزی'!$G$8:$G$63,C10,'ریز گزارش ارزی'!$AO$8:$AO$63,D10,'ریز گزارش ارزی'!$AP$8:$AP$63,E10)</f>
        <v>0</v>
      </c>
      <c r="I10" s="62">
        <f>SUMIFS('ریز گزارش ارزی'!$AC$8:$AC$63,'ریز گزارش ارزی'!$AC$8:$AC$63,"&gt;0",'ریز گزارش ارزی'!$AG$8:$AG$63,"عودت قرض",'ریز گزارش ارزی'!$H$8:$H$63,F10,'ریز گزارش ارزی'!$F$8:$F$63,B10,'ریز گزارش ارزی'!$G$8:$G$63,C10,'ریز گزارش ارزی'!$AO$8:$AO$63,D10,'ریز گزارش ارزی'!$AP$8:$AP$63,E10)</f>
        <v>0</v>
      </c>
      <c r="J10" s="62">
        <f>SUMIFS('ریز گزارش ارزی'!$AD$8:$AD$63,'ریز گزارش ارزی'!$AD$8:$AD$63,"&gt;0",'ریز گزارش ارزی'!$AG$8:$AG$63,"عودت قرض",'ریز گزارش ارزی'!$H$8:$H$63,F10,'ریز گزارش ارزی'!$F$8:$F$63,B10,'ریز گزارش ارزی'!$G$8:$G$63,C10,'ریز گزارش ارزی'!$AO$8:$AO$63,D10,'ریز گزارش ارزی'!$AP$8:$AP$63,E10)</f>
        <v>0</v>
      </c>
      <c r="K10" s="63">
        <f t="shared" si="2"/>
        <v>0</v>
      </c>
      <c r="L10" s="63">
        <f t="shared" si="3"/>
        <v>0</v>
      </c>
      <c r="M10" s="64">
        <f t="shared" si="4"/>
        <v>0</v>
      </c>
      <c r="N10" s="65" t="str">
        <f t="shared" si="5"/>
        <v>بی‌حساب</v>
      </c>
    </row>
    <row r="11" spans="2:14" ht="17.25" customHeight="1">
      <c r="B11" s="67" t="s">
        <v>148</v>
      </c>
      <c r="C11" s="58" t="s">
        <v>6</v>
      </c>
      <c r="D11" s="55" t="s">
        <v>5</v>
      </c>
      <c r="E11" s="56" t="s">
        <v>148</v>
      </c>
      <c r="F11" s="56" t="s">
        <v>37</v>
      </c>
      <c r="G11" s="62">
        <f>SUMIFS('ریز گزارش ارزی'!$AC$8:$AC$63,'ریز گزارش ارزی'!$AC$8:$AC$63,"&gt;0",'ریز گزارش ارزی'!$AG$8:$AG$63,"قرض",'ریز گزارش ارزی'!$H$8:$H$63,F11,'ریز گزارش ارزی'!$F$8:$F$63,B11,'ریز گزارش ارزی'!$G$8:$G$63,C11,'ریز گزارش ارزی'!$AO$8:$AO$63,D11,'ریز گزارش ارزی'!$AP$8:$AP$63,E11)</f>
        <v>0</v>
      </c>
      <c r="H11" s="62">
        <f>SUMIFS('ریز گزارش ارزی'!$AD$8:$AD$63,'ریز گزارش ارزی'!$AD$8:$AD$63,"&gt;0",'ریز گزارش ارزی'!$AG$8:$AG$63,"قرض",'ریز گزارش ارزی'!$H$8:$H$63,F11,'ریز گزارش ارزی'!$F$8:$F$63,B11,'ریز گزارش ارزی'!$G$8:$G$63,C11,'ریز گزارش ارزی'!$AO$8:$AO$63,D11,'ریز گزارش ارزی'!$AP$8:$AP$63,E11)</f>
        <v>0</v>
      </c>
      <c r="I11" s="62">
        <f>SUMIFS('ریز گزارش ارزی'!$AC$8:$AC$63,'ریز گزارش ارزی'!$AC$8:$AC$63,"&gt;0",'ریز گزارش ارزی'!$AG$8:$AG$63,"عودت قرض",'ریز گزارش ارزی'!$H$8:$H$63,F11,'ریز گزارش ارزی'!$F$8:$F$63,B11,'ریز گزارش ارزی'!$G$8:$G$63,C11,'ریز گزارش ارزی'!$AO$8:$AO$63,D11,'ریز گزارش ارزی'!$AP$8:$AP$63,E11)</f>
        <v>0</v>
      </c>
      <c r="J11" s="62">
        <f>SUMIFS('ریز گزارش ارزی'!$AD$8:$AD$63,'ریز گزارش ارزی'!$AD$8:$AD$63,"&gt;0",'ریز گزارش ارزی'!$AG$8:$AG$63,"عودت قرض",'ریز گزارش ارزی'!$H$8:$H$63,F11,'ریز گزارش ارزی'!$F$8:$F$63,B11,'ریز گزارش ارزی'!$G$8:$G$63,C11,'ریز گزارش ارزی'!$AO$8:$AO$63,D11,'ریز گزارش ارزی'!$AP$8:$AP$63,E11)</f>
        <v>0</v>
      </c>
      <c r="K11" s="63">
        <f t="shared" si="2"/>
        <v>0</v>
      </c>
      <c r="L11" s="63">
        <f t="shared" si="3"/>
        <v>0</v>
      </c>
      <c r="M11" s="64">
        <f t="shared" si="4"/>
        <v>0</v>
      </c>
      <c r="N11" s="65" t="str">
        <f t="shared" si="5"/>
        <v>بی‌حساب</v>
      </c>
    </row>
    <row r="12" spans="2:14" ht="17.25" customHeight="1">
      <c r="B12" s="67" t="s">
        <v>148</v>
      </c>
      <c r="C12" s="57" t="s">
        <v>0</v>
      </c>
      <c r="D12" s="144" t="s">
        <v>6</v>
      </c>
      <c r="E12" s="145" t="s">
        <v>148</v>
      </c>
      <c r="F12" s="145" t="s">
        <v>37</v>
      </c>
      <c r="G12" s="146">
        <f>SUMIFS('ریز گزارش ارزی'!$AC$8:$AC$63,'ریز گزارش ارزی'!$AC$8:$AC$63,"&gt;0",'ریز گزارش ارزی'!$AG$8:$AG$63,"قرض",'ریز گزارش ارزی'!$H$8:$H$63,F12,'ریز گزارش ارزی'!$F$8:$F$63,B12,'ریز گزارش ارزی'!$G$8:$G$63,C12,'ریز گزارش ارزی'!$AO$8:$AO$63,D12,'ریز گزارش ارزی'!$AP$8:$AP$63,E12)</f>
        <v>0</v>
      </c>
      <c r="H12" s="146">
        <f>SUMIFS('ریز گزارش ارزی'!$AD$8:$AD$63,'ریز گزارش ارزی'!$AD$8:$AD$63,"&gt;0",'ریز گزارش ارزی'!$AG$8:$AG$63,"قرض",'ریز گزارش ارزی'!$H$8:$H$63,F12,'ریز گزارش ارزی'!$F$8:$F$63,B12,'ریز گزارش ارزی'!$G$8:$G$63,C12,'ریز گزارش ارزی'!$AO$8:$AO$63,D12,'ریز گزارش ارزی'!$AP$8:$AP$63,E12)</f>
        <v>80</v>
      </c>
      <c r="I12" s="146">
        <f>SUMIFS('ریز گزارش ارزی'!$AC$8:$AC$63,'ریز گزارش ارزی'!$AC$8:$AC$63,"&gt;0",'ریز گزارش ارزی'!$AG$8:$AG$63,"عودت قرض",'ریز گزارش ارزی'!$H$8:$H$63,F12,'ریز گزارش ارزی'!$F$8:$F$63,B12,'ریز گزارش ارزی'!$G$8:$G$63,C12,'ریز گزارش ارزی'!$AO$8:$AO$63,D12,'ریز گزارش ارزی'!$AP$8:$AP$63,E12)</f>
        <v>0</v>
      </c>
      <c r="J12" s="146">
        <f>SUMIFS('ریز گزارش ارزی'!$AD$8:$AD$63,'ریز گزارش ارزی'!$AD$8:$AD$63,"&gt;0",'ریز گزارش ارزی'!$AG$8:$AG$63,"عودت قرض",'ریز گزارش ارزی'!$H$8:$H$63,F12,'ریز گزارش ارزی'!$F$8:$F$63,B12,'ریز گزارش ارزی'!$G$8:$G$63,C12,'ریز گزارش ارزی'!$AO$8:$AO$63,D12,'ریز گزارش ارزی'!$AP$8:$AP$63,E12)</f>
        <v>0</v>
      </c>
      <c r="K12" s="63">
        <f t="shared" si="2"/>
        <v>80</v>
      </c>
      <c r="L12" s="63">
        <f t="shared" si="3"/>
        <v>0</v>
      </c>
      <c r="M12" s="64">
        <f t="shared" si="4"/>
        <v>80</v>
      </c>
      <c r="N12" s="65" t="str">
        <f t="shared" si="5"/>
        <v>طلبکار</v>
      </c>
    </row>
    <row r="13" spans="2:14" ht="17.25" customHeight="1">
      <c r="B13" s="67" t="s">
        <v>148</v>
      </c>
      <c r="C13" s="57" t="s">
        <v>0</v>
      </c>
      <c r="D13" s="144" t="s">
        <v>1</v>
      </c>
      <c r="E13" s="145" t="s">
        <v>148</v>
      </c>
      <c r="F13" s="145" t="s">
        <v>37</v>
      </c>
      <c r="G13" s="146">
        <f>SUMIFS('ریز گزارش ارزی'!$AC$8:$AC$63,'ریز گزارش ارزی'!$AC$8:$AC$63,"&gt;0",'ریز گزارش ارزی'!$AG$8:$AG$63,"قرض",'ریز گزارش ارزی'!$H$8:$H$63,F13,'ریز گزارش ارزی'!$F$8:$F$63,B13,'ریز گزارش ارزی'!$G$8:$G$63,C13,'ریز گزارش ارزی'!$AO$8:$AO$63,D13,'ریز گزارش ارزی'!$AP$8:$AP$63,E13)</f>
        <v>0</v>
      </c>
      <c r="H13" s="146">
        <f>SUMIFS('ریز گزارش ارزی'!$AD$8:$AD$63,'ریز گزارش ارزی'!$AD$8:$AD$63,"&gt;0",'ریز گزارش ارزی'!$AG$8:$AG$63,"قرض",'ریز گزارش ارزی'!$H$8:$H$63,F13,'ریز گزارش ارزی'!$F$8:$F$63,B13,'ریز گزارش ارزی'!$G$8:$G$63,C13,'ریز گزارش ارزی'!$AO$8:$AO$63,D13,'ریز گزارش ارزی'!$AP$8:$AP$63,E13)</f>
        <v>0</v>
      </c>
      <c r="I13" s="146">
        <f>SUMIFS('ریز گزارش ارزی'!$AC$8:$AC$63,'ریز گزارش ارزی'!$AC$8:$AC$63,"&gt;0",'ریز گزارش ارزی'!$AG$8:$AG$63,"عودت قرض",'ریز گزارش ارزی'!$H$8:$H$63,F13,'ریز گزارش ارزی'!$F$8:$F$63,B13,'ریز گزارش ارزی'!$G$8:$G$63,C13,'ریز گزارش ارزی'!$AO$8:$AO$63,D13,'ریز گزارش ارزی'!$AP$8:$AP$63,E13)</f>
        <v>0</v>
      </c>
      <c r="J13" s="146">
        <f>SUMIFS('ریز گزارش ارزی'!$AD$8:$AD$63,'ریز گزارش ارزی'!$AD$8:$AD$63,"&gt;0",'ریز گزارش ارزی'!$AG$8:$AG$63,"عودت قرض",'ریز گزارش ارزی'!$H$8:$H$63,F13,'ریز گزارش ارزی'!$F$8:$F$63,B13,'ریز گزارش ارزی'!$G$8:$G$63,C13,'ریز گزارش ارزی'!$AO$8:$AO$63,D13,'ریز گزارش ارزی'!$AP$8:$AP$63,E13)</f>
        <v>0</v>
      </c>
      <c r="K13" s="63">
        <f t="shared" si="2"/>
        <v>0</v>
      </c>
      <c r="L13" s="63">
        <f t="shared" si="3"/>
        <v>0</v>
      </c>
      <c r="M13" s="64">
        <f t="shared" si="4"/>
        <v>0</v>
      </c>
      <c r="N13" s="65" t="str">
        <f t="shared" si="5"/>
        <v>بی‌حساب</v>
      </c>
    </row>
    <row r="14" spans="2:14" ht="17.25" customHeight="1">
      <c r="B14" s="67" t="s">
        <v>148</v>
      </c>
      <c r="C14" s="57" t="s">
        <v>0</v>
      </c>
      <c r="D14" s="144" t="s">
        <v>3</v>
      </c>
      <c r="E14" s="145" t="s">
        <v>148</v>
      </c>
      <c r="F14" s="145" t="s">
        <v>37</v>
      </c>
      <c r="G14" s="146">
        <f>SUMIFS('ریز گزارش ارزی'!$AC$8:$AC$63,'ریز گزارش ارزی'!$AC$8:$AC$63,"&gt;0",'ریز گزارش ارزی'!$AG$8:$AG$63,"قرض",'ریز گزارش ارزی'!$H$8:$H$63,F14,'ریز گزارش ارزی'!$F$8:$F$63,B14,'ریز گزارش ارزی'!$G$8:$G$63,C14,'ریز گزارش ارزی'!$AO$8:$AO$63,D14,'ریز گزارش ارزی'!$AP$8:$AP$63,E14)</f>
        <v>0</v>
      </c>
      <c r="H14" s="146">
        <f>SUMIFS('ریز گزارش ارزی'!$AD$8:$AD$63,'ریز گزارش ارزی'!$AD$8:$AD$63,"&gt;0",'ریز گزارش ارزی'!$AG$8:$AG$63,"قرض",'ریز گزارش ارزی'!$H$8:$H$63,F14,'ریز گزارش ارزی'!$F$8:$F$63,B14,'ریز گزارش ارزی'!$G$8:$G$63,C14,'ریز گزارش ارزی'!$AO$8:$AO$63,D14,'ریز گزارش ارزی'!$AP$8:$AP$63,E14)</f>
        <v>0</v>
      </c>
      <c r="I14" s="146">
        <f>SUMIFS('ریز گزارش ارزی'!$AC$8:$AC$63,'ریز گزارش ارزی'!$AC$8:$AC$63,"&gt;0",'ریز گزارش ارزی'!$AG$8:$AG$63,"عودت قرض",'ریز گزارش ارزی'!$H$8:$H$63,F14,'ریز گزارش ارزی'!$F$8:$F$63,B14,'ریز گزارش ارزی'!$G$8:$G$63,C14,'ریز گزارش ارزی'!$AO$8:$AO$63,D14,'ریز گزارش ارزی'!$AP$8:$AP$63,E14)</f>
        <v>0</v>
      </c>
      <c r="J14" s="146">
        <f>SUMIFS('ریز گزارش ارزی'!$AD$8:$AD$63,'ریز گزارش ارزی'!$AD$8:$AD$63,"&gt;0",'ریز گزارش ارزی'!$AG$8:$AG$63,"عودت قرض",'ریز گزارش ارزی'!$H$8:$H$63,F14,'ریز گزارش ارزی'!$F$8:$F$63,B14,'ریز گزارش ارزی'!$G$8:$G$63,C14,'ریز گزارش ارزی'!$AO$8:$AO$63,D14,'ریز گزارش ارزی'!$AP$8:$AP$63,E14)</f>
        <v>0</v>
      </c>
      <c r="K14" s="63">
        <f t="shared" si="2"/>
        <v>0</v>
      </c>
      <c r="L14" s="63">
        <f t="shared" si="3"/>
        <v>0</v>
      </c>
      <c r="M14" s="64">
        <f t="shared" si="4"/>
        <v>0</v>
      </c>
      <c r="N14" s="65" t="str">
        <f t="shared" si="5"/>
        <v>بی‌حساب</v>
      </c>
    </row>
    <row r="15" spans="2:14" ht="17.25" customHeight="1">
      <c r="B15" s="67" t="s">
        <v>148</v>
      </c>
      <c r="C15" s="57" t="s">
        <v>0</v>
      </c>
      <c r="D15" s="144" t="s">
        <v>9</v>
      </c>
      <c r="E15" s="145" t="s">
        <v>148</v>
      </c>
      <c r="F15" s="145" t="s">
        <v>37</v>
      </c>
      <c r="G15" s="146">
        <f>SUMIFS('ریز گزارش ارزی'!$AC$8:$AC$63,'ریز گزارش ارزی'!$AC$8:$AC$63,"&gt;0",'ریز گزارش ارزی'!$AG$8:$AG$63,"قرض",'ریز گزارش ارزی'!$H$8:$H$63,F15,'ریز گزارش ارزی'!$F$8:$F$63,B15,'ریز گزارش ارزی'!$G$8:$G$63,C15,'ریز گزارش ارزی'!$AO$8:$AO$63,D15,'ریز گزارش ارزی'!$AP$8:$AP$63,E15)</f>
        <v>105</v>
      </c>
      <c r="H15" s="146">
        <f>SUMIFS('ریز گزارش ارزی'!$AD$8:$AD$63,'ریز گزارش ارزی'!$AD$8:$AD$63,"&gt;0",'ریز گزارش ارزی'!$AG$8:$AG$63,"قرض",'ریز گزارش ارزی'!$H$8:$H$63,F15,'ریز گزارش ارزی'!$F$8:$F$63,B15,'ریز گزارش ارزی'!$G$8:$G$63,C15,'ریز گزارش ارزی'!$AO$8:$AO$63,D15,'ریز گزارش ارزی'!$AP$8:$AP$63,E15)</f>
        <v>0</v>
      </c>
      <c r="I15" s="146">
        <f>SUMIFS('ریز گزارش ارزی'!$AC$8:$AC$63,'ریز گزارش ارزی'!$AC$8:$AC$63,"&gt;0",'ریز گزارش ارزی'!$AG$8:$AG$63,"عودت قرض",'ریز گزارش ارزی'!$H$8:$H$63,F15,'ریز گزارش ارزی'!$F$8:$F$63,B15,'ریز گزارش ارزی'!$G$8:$G$63,C15,'ریز گزارش ارزی'!$AO$8:$AO$63,D15,'ریز گزارش ارزی'!$AP$8:$AP$63,E15)</f>
        <v>0</v>
      </c>
      <c r="J15" s="146">
        <f>SUMIFS('ریز گزارش ارزی'!$AD$8:$AD$63,'ریز گزارش ارزی'!$AD$8:$AD$63,"&gt;0",'ریز گزارش ارزی'!$AG$8:$AG$63,"عودت قرض",'ریز گزارش ارزی'!$H$8:$H$63,F15,'ریز گزارش ارزی'!$F$8:$F$63,B15,'ریز گزارش ارزی'!$G$8:$G$63,C15,'ریز گزارش ارزی'!$AO$8:$AO$63,D15,'ریز گزارش ارزی'!$AP$8:$AP$63,E15)</f>
        <v>68</v>
      </c>
      <c r="K15" s="63">
        <f t="shared" si="2"/>
        <v>0</v>
      </c>
      <c r="L15" s="63">
        <f t="shared" si="3"/>
        <v>37</v>
      </c>
      <c r="M15" s="64">
        <f t="shared" si="4"/>
        <v>-37</v>
      </c>
      <c r="N15" s="65" t="str">
        <f t="shared" si="5"/>
        <v>بدهکار</v>
      </c>
    </row>
    <row r="16" spans="2:14" ht="17.25" customHeight="1">
      <c r="B16" s="67" t="s">
        <v>148</v>
      </c>
      <c r="C16" s="57" t="s">
        <v>0</v>
      </c>
      <c r="D16" s="144" t="s">
        <v>14</v>
      </c>
      <c r="E16" s="145" t="s">
        <v>148</v>
      </c>
      <c r="F16" s="145" t="s">
        <v>37</v>
      </c>
      <c r="G16" s="146">
        <f>SUMIFS('ریز گزارش ارزی'!$AC$8:$AC$63,'ریز گزارش ارزی'!$AC$8:$AC$63,"&gt;0",'ریز گزارش ارزی'!$AG$8:$AG$63,"قرض",'ریز گزارش ارزی'!$H$8:$H$63,F16,'ریز گزارش ارزی'!$F$8:$F$63,B16,'ریز گزارش ارزی'!$G$8:$G$63,C16,'ریز گزارش ارزی'!$AO$8:$AO$63,D16,'ریز گزارش ارزی'!$AP$8:$AP$63,E16)</f>
        <v>14</v>
      </c>
      <c r="H16" s="146">
        <f>SUMIFS('ریز گزارش ارزی'!$AD$8:$AD$63,'ریز گزارش ارزی'!$AD$8:$AD$63,"&gt;0",'ریز گزارش ارزی'!$AG$8:$AG$63,"قرض",'ریز گزارش ارزی'!$H$8:$H$63,F16,'ریز گزارش ارزی'!$F$8:$F$63,B16,'ریز گزارش ارزی'!$G$8:$G$63,C16,'ریز گزارش ارزی'!$AO$8:$AO$63,D16,'ریز گزارش ارزی'!$AP$8:$AP$63,E16)</f>
        <v>0</v>
      </c>
      <c r="I16" s="146">
        <f>SUMIFS('ریز گزارش ارزی'!$AC$8:$AC$63,'ریز گزارش ارزی'!$AC$8:$AC$63,"&gt;0",'ریز گزارش ارزی'!$AG$8:$AG$63,"عودت قرض",'ریز گزارش ارزی'!$H$8:$H$63,F16,'ریز گزارش ارزی'!$F$8:$F$63,B16,'ریز گزارش ارزی'!$G$8:$G$63,C16,'ریز گزارش ارزی'!$AO$8:$AO$63,D16,'ریز گزارش ارزی'!$AP$8:$AP$63,E16)</f>
        <v>0</v>
      </c>
      <c r="J16" s="146">
        <f>SUMIFS('ریز گزارش ارزی'!$AD$8:$AD$63,'ریز گزارش ارزی'!$AD$8:$AD$63,"&gt;0",'ریز گزارش ارزی'!$AG$8:$AG$63,"عودت قرض",'ریز گزارش ارزی'!$H$8:$H$63,F16,'ریز گزارش ارزی'!$F$8:$F$63,B16,'ریز گزارش ارزی'!$G$8:$G$63,C16,'ریز گزارش ارزی'!$AO$8:$AO$63,D16,'ریز گزارش ارزی'!$AP$8:$AP$63,E16)</f>
        <v>0</v>
      </c>
      <c r="K16" s="63">
        <f t="shared" si="2"/>
        <v>0</v>
      </c>
      <c r="L16" s="63">
        <f t="shared" si="3"/>
        <v>14</v>
      </c>
      <c r="M16" s="64">
        <f t="shared" si="4"/>
        <v>-14</v>
      </c>
      <c r="N16" s="65" t="str">
        <f t="shared" si="5"/>
        <v>بدهکار</v>
      </c>
    </row>
    <row r="17" spans="2:14" ht="17.25" customHeight="1">
      <c r="B17" s="67" t="s">
        <v>148</v>
      </c>
      <c r="C17" s="57" t="s">
        <v>0</v>
      </c>
      <c r="D17" s="144" t="s">
        <v>5</v>
      </c>
      <c r="E17" s="145" t="s">
        <v>148</v>
      </c>
      <c r="F17" s="145" t="s">
        <v>37</v>
      </c>
      <c r="G17" s="146">
        <f>SUMIFS('ریز گزارش ارزی'!$AC$8:$AC$63,'ریز گزارش ارزی'!$AC$8:$AC$63,"&gt;0",'ریز گزارش ارزی'!$AG$8:$AG$63,"قرض",'ریز گزارش ارزی'!$H$8:$H$63,F17,'ریز گزارش ارزی'!$F$8:$F$63,B17,'ریز گزارش ارزی'!$G$8:$G$63,C17,'ریز گزارش ارزی'!$AO$8:$AO$63,D17,'ریز گزارش ارزی'!$AP$8:$AP$63,E17)</f>
        <v>0</v>
      </c>
      <c r="H17" s="146">
        <f>SUMIFS('ریز گزارش ارزی'!$AD$8:$AD$63,'ریز گزارش ارزی'!$AD$8:$AD$63,"&gt;0",'ریز گزارش ارزی'!$AG$8:$AG$63,"قرض",'ریز گزارش ارزی'!$H$8:$H$63,F17,'ریز گزارش ارزی'!$F$8:$F$63,B17,'ریز گزارش ارزی'!$G$8:$G$63,C17,'ریز گزارش ارزی'!$AO$8:$AO$63,D17,'ریز گزارش ارزی'!$AP$8:$AP$63,E17)</f>
        <v>0</v>
      </c>
      <c r="I17" s="146">
        <f>SUMIFS('ریز گزارش ارزی'!$AC$8:$AC$63,'ریز گزارش ارزی'!$AC$8:$AC$63,"&gt;0",'ریز گزارش ارزی'!$AG$8:$AG$63,"عودت قرض",'ریز گزارش ارزی'!$H$8:$H$63,F17,'ریز گزارش ارزی'!$F$8:$F$63,B17,'ریز گزارش ارزی'!$G$8:$G$63,C17,'ریز گزارش ارزی'!$AO$8:$AO$63,D17,'ریز گزارش ارزی'!$AP$8:$AP$63,E17)</f>
        <v>0</v>
      </c>
      <c r="J17" s="146">
        <f>SUMIFS('ریز گزارش ارزی'!$AD$8:$AD$63,'ریز گزارش ارزی'!$AD$8:$AD$63,"&gt;0",'ریز گزارش ارزی'!$AG$8:$AG$63,"عودت قرض",'ریز گزارش ارزی'!$H$8:$H$63,F17,'ریز گزارش ارزی'!$F$8:$F$63,B17,'ریز گزارش ارزی'!$G$8:$G$63,C17,'ریز گزارش ارزی'!$AO$8:$AO$63,D17,'ریز گزارش ارزی'!$AP$8:$AP$63,E17)</f>
        <v>0</v>
      </c>
      <c r="K17" s="63">
        <f t="shared" si="2"/>
        <v>0</v>
      </c>
      <c r="L17" s="63">
        <f t="shared" si="3"/>
        <v>0</v>
      </c>
      <c r="M17" s="64">
        <f t="shared" si="4"/>
        <v>0</v>
      </c>
      <c r="N17" s="65" t="str">
        <f t="shared" si="5"/>
        <v>بی‌حساب</v>
      </c>
    </row>
    <row r="18" spans="2:14" ht="17.25" customHeight="1">
      <c r="B18" s="67" t="s">
        <v>148</v>
      </c>
      <c r="C18" s="54" t="s">
        <v>1</v>
      </c>
      <c r="D18" s="55" t="s">
        <v>6</v>
      </c>
      <c r="E18" s="56" t="s">
        <v>148</v>
      </c>
      <c r="F18" s="56" t="s">
        <v>37</v>
      </c>
      <c r="G18" s="62">
        <f>SUMIFS('ریز گزارش ارزی'!$AC$8:$AC$63,'ریز گزارش ارزی'!$AC$8:$AC$63,"&gt;0",'ریز گزارش ارزی'!$AG$8:$AG$63,"قرض",'ریز گزارش ارزی'!$H$8:$H$63,F18,'ریز گزارش ارزی'!$F$8:$F$63,B18,'ریز گزارش ارزی'!$G$8:$G$63,C18,'ریز گزارش ارزی'!$AO$8:$AO$63,D18,'ریز گزارش ارزی'!$AP$8:$AP$63,E18)</f>
        <v>0</v>
      </c>
      <c r="H18" s="62">
        <f>SUMIFS('ریز گزارش ارزی'!$AD$8:$AD$63,'ریز گزارش ارزی'!$AD$8:$AD$63,"&gt;0",'ریز گزارش ارزی'!$AG$8:$AG$63,"قرض",'ریز گزارش ارزی'!$H$8:$H$63,F18,'ریز گزارش ارزی'!$F$8:$F$63,B18,'ریز گزارش ارزی'!$G$8:$G$63,C18,'ریز گزارش ارزی'!$AO$8:$AO$63,D18,'ریز گزارش ارزی'!$AP$8:$AP$63,E18)</f>
        <v>0</v>
      </c>
      <c r="I18" s="62">
        <f>SUMIFS('ریز گزارش ارزی'!$AC$8:$AC$63,'ریز گزارش ارزی'!$AC$8:$AC$63,"&gt;0",'ریز گزارش ارزی'!$AG$8:$AG$63,"عودت قرض",'ریز گزارش ارزی'!$H$8:$H$63,F18,'ریز گزارش ارزی'!$F$8:$F$63,B18,'ریز گزارش ارزی'!$G$8:$G$63,C18,'ریز گزارش ارزی'!$AO$8:$AO$63,D18,'ریز گزارش ارزی'!$AP$8:$AP$63,E18)</f>
        <v>0</v>
      </c>
      <c r="J18" s="62">
        <f>SUMIFS('ریز گزارش ارزی'!$AD$8:$AD$63,'ریز گزارش ارزی'!$AD$8:$AD$63,"&gt;0",'ریز گزارش ارزی'!$AG$8:$AG$63,"عودت قرض",'ریز گزارش ارزی'!$H$8:$H$63,F18,'ریز گزارش ارزی'!$F$8:$F$63,B18,'ریز گزارش ارزی'!$G$8:$G$63,C18,'ریز گزارش ارزی'!$AO$8:$AO$63,D18,'ریز گزارش ارزی'!$AP$8:$AP$63,E18)</f>
        <v>0</v>
      </c>
      <c r="K18" s="63">
        <f t="shared" ref="K18:K33" si="6">H18-I18</f>
        <v>0</v>
      </c>
      <c r="L18" s="63">
        <f t="shared" ref="L18:L33" si="7">G18-J18</f>
        <v>0</v>
      </c>
      <c r="M18" s="64">
        <f t="shared" ref="M18:M33" si="8">K18-L18</f>
        <v>0</v>
      </c>
      <c r="N18" s="65" t="str">
        <f t="shared" ref="N18:N33" si="9">IF(M18=0,"بی‌حساب",IF(M18&gt;0,"طلبکار","بدهکار"))</f>
        <v>بی‌حساب</v>
      </c>
    </row>
    <row r="19" spans="2:14" ht="17.25" customHeight="1">
      <c r="B19" s="67" t="s">
        <v>148</v>
      </c>
      <c r="C19" s="54" t="s">
        <v>1</v>
      </c>
      <c r="D19" s="55" t="s">
        <v>0</v>
      </c>
      <c r="E19" s="56" t="s">
        <v>148</v>
      </c>
      <c r="F19" s="56" t="s">
        <v>37</v>
      </c>
      <c r="G19" s="62">
        <f>SUMIFS('ریز گزارش ارزی'!$AC$8:$AC$63,'ریز گزارش ارزی'!$AC$8:$AC$63,"&gt;0",'ریز گزارش ارزی'!$AG$8:$AG$63,"قرض",'ریز گزارش ارزی'!$H$8:$H$63,F19,'ریز گزارش ارزی'!$F$8:$F$63,B19,'ریز گزارش ارزی'!$G$8:$G$63,C19,'ریز گزارش ارزی'!$AO$8:$AO$63,D19,'ریز گزارش ارزی'!$AP$8:$AP$63,E19)</f>
        <v>0</v>
      </c>
      <c r="H19" s="62">
        <f>SUMIFS('ریز گزارش ارزی'!$AD$8:$AD$63,'ریز گزارش ارزی'!$AD$8:$AD$63,"&gt;0",'ریز گزارش ارزی'!$AG$8:$AG$63,"قرض",'ریز گزارش ارزی'!$H$8:$H$63,F19,'ریز گزارش ارزی'!$F$8:$F$63,B19,'ریز گزارش ارزی'!$G$8:$G$63,C19,'ریز گزارش ارزی'!$AO$8:$AO$63,D19,'ریز گزارش ارزی'!$AP$8:$AP$63,E19)</f>
        <v>0</v>
      </c>
      <c r="I19" s="62">
        <f>SUMIFS('ریز گزارش ارزی'!$AC$8:$AC$63,'ریز گزارش ارزی'!$AC$8:$AC$63,"&gt;0",'ریز گزارش ارزی'!$AG$8:$AG$63,"عودت قرض",'ریز گزارش ارزی'!$H$8:$H$63,F19,'ریز گزارش ارزی'!$F$8:$F$63,B19,'ریز گزارش ارزی'!$G$8:$G$63,C19,'ریز گزارش ارزی'!$AO$8:$AO$63,D19,'ریز گزارش ارزی'!$AP$8:$AP$63,E19)</f>
        <v>0</v>
      </c>
      <c r="J19" s="62">
        <f>SUMIFS('ریز گزارش ارزی'!$AD$8:$AD$63,'ریز گزارش ارزی'!$AD$8:$AD$63,"&gt;0",'ریز گزارش ارزی'!$AG$8:$AG$63,"عودت قرض",'ریز گزارش ارزی'!$H$8:$H$63,F19,'ریز گزارش ارزی'!$F$8:$F$63,B19,'ریز گزارش ارزی'!$G$8:$G$63,C19,'ریز گزارش ارزی'!$AO$8:$AO$63,D19,'ریز گزارش ارزی'!$AP$8:$AP$63,E19)</f>
        <v>0</v>
      </c>
      <c r="K19" s="63">
        <f t="shared" si="6"/>
        <v>0</v>
      </c>
      <c r="L19" s="63">
        <f t="shared" si="7"/>
        <v>0</v>
      </c>
      <c r="M19" s="64">
        <f t="shared" si="8"/>
        <v>0</v>
      </c>
      <c r="N19" s="65" t="str">
        <f t="shared" si="9"/>
        <v>بی‌حساب</v>
      </c>
    </row>
    <row r="20" spans="2:14" ht="17.25" customHeight="1">
      <c r="B20" s="67" t="s">
        <v>148</v>
      </c>
      <c r="C20" s="54" t="s">
        <v>1</v>
      </c>
      <c r="D20" s="55" t="s">
        <v>3</v>
      </c>
      <c r="E20" s="56" t="s">
        <v>148</v>
      </c>
      <c r="F20" s="56" t="s">
        <v>37</v>
      </c>
      <c r="G20" s="62">
        <f>SUMIFS('ریز گزارش ارزی'!$AC$8:$AC$63,'ریز گزارش ارزی'!$AC$8:$AC$63,"&gt;0",'ریز گزارش ارزی'!$AG$8:$AG$63,"قرض",'ریز گزارش ارزی'!$H$8:$H$63,F20,'ریز گزارش ارزی'!$F$8:$F$63,B20,'ریز گزارش ارزی'!$G$8:$G$63,C20,'ریز گزارش ارزی'!$AO$8:$AO$63,D20,'ریز گزارش ارزی'!$AP$8:$AP$63,E20)</f>
        <v>0</v>
      </c>
      <c r="H20" s="62">
        <f>SUMIFS('ریز گزارش ارزی'!$AD$8:$AD$63,'ریز گزارش ارزی'!$AD$8:$AD$63,"&gt;0",'ریز گزارش ارزی'!$AG$8:$AG$63,"قرض",'ریز گزارش ارزی'!$H$8:$H$63,F20,'ریز گزارش ارزی'!$F$8:$F$63,B20,'ریز گزارش ارزی'!$G$8:$G$63,C20,'ریز گزارش ارزی'!$AO$8:$AO$63,D20,'ریز گزارش ارزی'!$AP$8:$AP$63,E20)</f>
        <v>0</v>
      </c>
      <c r="I20" s="62">
        <f>SUMIFS('ریز گزارش ارزی'!$AC$8:$AC$63,'ریز گزارش ارزی'!$AC$8:$AC$63,"&gt;0",'ریز گزارش ارزی'!$AG$8:$AG$63,"عودت قرض",'ریز گزارش ارزی'!$H$8:$H$63,F20,'ریز گزارش ارزی'!$F$8:$F$63,B20,'ریز گزارش ارزی'!$G$8:$G$63,C20,'ریز گزارش ارزی'!$AO$8:$AO$63,D20,'ریز گزارش ارزی'!$AP$8:$AP$63,E20)</f>
        <v>0</v>
      </c>
      <c r="J20" s="62">
        <f>SUMIFS('ریز گزارش ارزی'!$AD$8:$AD$63,'ریز گزارش ارزی'!$AD$8:$AD$63,"&gt;0",'ریز گزارش ارزی'!$AG$8:$AG$63,"عودت قرض",'ریز گزارش ارزی'!$H$8:$H$63,F20,'ریز گزارش ارزی'!$F$8:$F$63,B20,'ریز گزارش ارزی'!$G$8:$G$63,C20,'ریز گزارش ارزی'!$AO$8:$AO$63,D20,'ریز گزارش ارزی'!$AP$8:$AP$63,E20)</f>
        <v>0</v>
      </c>
      <c r="K20" s="63">
        <f t="shared" si="6"/>
        <v>0</v>
      </c>
      <c r="L20" s="63">
        <f t="shared" si="7"/>
        <v>0</v>
      </c>
      <c r="M20" s="64">
        <f t="shared" si="8"/>
        <v>0</v>
      </c>
      <c r="N20" s="65" t="str">
        <f t="shared" si="9"/>
        <v>بی‌حساب</v>
      </c>
    </row>
    <row r="21" spans="2:14" ht="17.25" customHeight="1">
      <c r="B21" s="67" t="s">
        <v>148</v>
      </c>
      <c r="C21" s="54" t="s">
        <v>1</v>
      </c>
      <c r="D21" s="55" t="s">
        <v>9</v>
      </c>
      <c r="E21" s="56" t="s">
        <v>148</v>
      </c>
      <c r="F21" s="56" t="s">
        <v>37</v>
      </c>
      <c r="G21" s="62">
        <f>SUMIFS('ریز گزارش ارزی'!$AC$8:$AC$63,'ریز گزارش ارزی'!$AC$8:$AC$63,"&gt;0",'ریز گزارش ارزی'!$AG$8:$AG$63,"قرض",'ریز گزارش ارزی'!$H$8:$H$63,F21,'ریز گزارش ارزی'!$F$8:$F$63,B21,'ریز گزارش ارزی'!$G$8:$G$63,C21,'ریز گزارش ارزی'!$AO$8:$AO$63,D21,'ریز گزارش ارزی'!$AP$8:$AP$63,E21)</f>
        <v>0</v>
      </c>
      <c r="H21" s="62">
        <f>SUMIFS('ریز گزارش ارزی'!$AD$8:$AD$63,'ریز گزارش ارزی'!$AD$8:$AD$63,"&gt;0",'ریز گزارش ارزی'!$AG$8:$AG$63,"قرض",'ریز گزارش ارزی'!$H$8:$H$63,F21,'ریز گزارش ارزی'!$F$8:$F$63,B21,'ریز گزارش ارزی'!$G$8:$G$63,C21,'ریز گزارش ارزی'!$AO$8:$AO$63,D21,'ریز گزارش ارزی'!$AP$8:$AP$63,E21)</f>
        <v>0</v>
      </c>
      <c r="I21" s="62">
        <f>SUMIFS('ریز گزارش ارزی'!$AC$8:$AC$63,'ریز گزارش ارزی'!$AC$8:$AC$63,"&gt;0",'ریز گزارش ارزی'!$AG$8:$AG$63,"عودت قرض",'ریز گزارش ارزی'!$H$8:$H$63,F21,'ریز گزارش ارزی'!$F$8:$F$63,B21,'ریز گزارش ارزی'!$G$8:$G$63,C21,'ریز گزارش ارزی'!$AO$8:$AO$63,D21,'ریز گزارش ارزی'!$AP$8:$AP$63,E21)</f>
        <v>0</v>
      </c>
      <c r="J21" s="62">
        <f>SUMIFS('ریز گزارش ارزی'!$AD$8:$AD$63,'ریز گزارش ارزی'!$AD$8:$AD$63,"&gt;0",'ریز گزارش ارزی'!$AG$8:$AG$63,"عودت قرض",'ریز گزارش ارزی'!$H$8:$H$63,F21,'ریز گزارش ارزی'!$F$8:$F$63,B21,'ریز گزارش ارزی'!$G$8:$G$63,C21,'ریز گزارش ارزی'!$AO$8:$AO$63,D21,'ریز گزارش ارزی'!$AP$8:$AP$63,E21)</f>
        <v>0</v>
      </c>
      <c r="K21" s="63">
        <f t="shared" si="6"/>
        <v>0</v>
      </c>
      <c r="L21" s="63">
        <f t="shared" si="7"/>
        <v>0</v>
      </c>
      <c r="M21" s="64">
        <f t="shared" si="8"/>
        <v>0</v>
      </c>
      <c r="N21" s="65" t="str">
        <f t="shared" si="9"/>
        <v>بی‌حساب</v>
      </c>
    </row>
    <row r="22" spans="2:14" ht="17.25" customHeight="1">
      <c r="B22" s="67" t="s">
        <v>148</v>
      </c>
      <c r="C22" s="54" t="s">
        <v>1</v>
      </c>
      <c r="D22" s="55" t="s">
        <v>14</v>
      </c>
      <c r="E22" s="56" t="s">
        <v>148</v>
      </c>
      <c r="F22" s="56" t="s">
        <v>37</v>
      </c>
      <c r="G22" s="62">
        <f>SUMIFS('ریز گزارش ارزی'!$AC$8:$AC$63,'ریز گزارش ارزی'!$AC$8:$AC$63,"&gt;0",'ریز گزارش ارزی'!$AG$8:$AG$63,"قرض",'ریز گزارش ارزی'!$H$8:$H$63,F22,'ریز گزارش ارزی'!$F$8:$F$63,B22,'ریز گزارش ارزی'!$G$8:$G$63,C22,'ریز گزارش ارزی'!$AO$8:$AO$63,D22,'ریز گزارش ارزی'!$AP$8:$AP$63,E22)</f>
        <v>0</v>
      </c>
      <c r="H22" s="62">
        <f>SUMIFS('ریز گزارش ارزی'!$AD$8:$AD$63,'ریز گزارش ارزی'!$AD$8:$AD$63,"&gt;0",'ریز گزارش ارزی'!$AG$8:$AG$63,"قرض",'ریز گزارش ارزی'!$H$8:$H$63,F22,'ریز گزارش ارزی'!$F$8:$F$63,B22,'ریز گزارش ارزی'!$G$8:$G$63,C22,'ریز گزارش ارزی'!$AO$8:$AO$63,D22,'ریز گزارش ارزی'!$AP$8:$AP$63,E22)</f>
        <v>0</v>
      </c>
      <c r="I22" s="62">
        <f>SUMIFS('ریز گزارش ارزی'!$AC$8:$AC$63,'ریز گزارش ارزی'!$AC$8:$AC$63,"&gt;0",'ریز گزارش ارزی'!$AG$8:$AG$63,"عودت قرض",'ریز گزارش ارزی'!$H$8:$H$63,F22,'ریز گزارش ارزی'!$F$8:$F$63,B22,'ریز گزارش ارزی'!$G$8:$G$63,C22,'ریز گزارش ارزی'!$AO$8:$AO$63,D22,'ریز گزارش ارزی'!$AP$8:$AP$63,E22)</f>
        <v>0</v>
      </c>
      <c r="J22" s="62">
        <f>SUMIFS('ریز گزارش ارزی'!$AD$8:$AD$63,'ریز گزارش ارزی'!$AD$8:$AD$63,"&gt;0",'ریز گزارش ارزی'!$AG$8:$AG$63,"عودت قرض",'ریز گزارش ارزی'!$H$8:$H$63,F22,'ریز گزارش ارزی'!$F$8:$F$63,B22,'ریز گزارش ارزی'!$G$8:$G$63,C22,'ریز گزارش ارزی'!$AO$8:$AO$63,D22,'ریز گزارش ارزی'!$AP$8:$AP$63,E22)</f>
        <v>0</v>
      </c>
      <c r="K22" s="63">
        <f t="shared" si="6"/>
        <v>0</v>
      </c>
      <c r="L22" s="63">
        <f t="shared" si="7"/>
        <v>0</v>
      </c>
      <c r="M22" s="64">
        <f t="shared" si="8"/>
        <v>0</v>
      </c>
      <c r="N22" s="65" t="str">
        <f t="shared" si="9"/>
        <v>بی‌حساب</v>
      </c>
    </row>
    <row r="23" spans="2:14" ht="17.25" customHeight="1">
      <c r="B23" s="67" t="s">
        <v>148</v>
      </c>
      <c r="C23" s="54" t="s">
        <v>1</v>
      </c>
      <c r="D23" s="55" t="s">
        <v>5</v>
      </c>
      <c r="E23" s="56" t="s">
        <v>148</v>
      </c>
      <c r="F23" s="56" t="s">
        <v>37</v>
      </c>
      <c r="G23" s="62">
        <f>SUMIFS('ریز گزارش ارزی'!$AC$8:$AC$63,'ریز گزارش ارزی'!$AC$8:$AC$63,"&gt;0",'ریز گزارش ارزی'!$AG$8:$AG$63,"قرض",'ریز گزارش ارزی'!$H$8:$H$63,F23,'ریز گزارش ارزی'!$F$8:$F$63,B23,'ریز گزارش ارزی'!$G$8:$G$63,C23,'ریز گزارش ارزی'!$AO$8:$AO$63,D23,'ریز گزارش ارزی'!$AP$8:$AP$63,E23)</f>
        <v>0</v>
      </c>
      <c r="H23" s="62">
        <f>SUMIFS('ریز گزارش ارزی'!$AD$8:$AD$63,'ریز گزارش ارزی'!$AD$8:$AD$63,"&gt;0",'ریز گزارش ارزی'!$AG$8:$AG$63,"قرض",'ریز گزارش ارزی'!$H$8:$H$63,F23,'ریز گزارش ارزی'!$F$8:$F$63,B23,'ریز گزارش ارزی'!$G$8:$G$63,C23,'ریز گزارش ارزی'!$AO$8:$AO$63,D23,'ریز گزارش ارزی'!$AP$8:$AP$63,E23)</f>
        <v>0</v>
      </c>
      <c r="I23" s="62">
        <f>SUMIFS('ریز گزارش ارزی'!$AC$8:$AC$63,'ریز گزارش ارزی'!$AC$8:$AC$63,"&gt;0",'ریز گزارش ارزی'!$AG$8:$AG$63,"عودت قرض",'ریز گزارش ارزی'!$H$8:$H$63,F23,'ریز گزارش ارزی'!$F$8:$F$63,B23,'ریز گزارش ارزی'!$G$8:$G$63,C23,'ریز گزارش ارزی'!$AO$8:$AO$63,D23,'ریز گزارش ارزی'!$AP$8:$AP$63,E23)</f>
        <v>0</v>
      </c>
      <c r="J23" s="62">
        <f>SUMIFS('ریز گزارش ارزی'!$AD$8:$AD$63,'ریز گزارش ارزی'!$AD$8:$AD$63,"&gt;0",'ریز گزارش ارزی'!$AG$8:$AG$63,"عودت قرض",'ریز گزارش ارزی'!$H$8:$H$63,F23,'ریز گزارش ارزی'!$F$8:$F$63,B23,'ریز گزارش ارزی'!$G$8:$G$63,C23,'ریز گزارش ارزی'!$AO$8:$AO$63,D23,'ریز گزارش ارزی'!$AP$8:$AP$63,E23)</f>
        <v>0</v>
      </c>
      <c r="K23" s="63">
        <f t="shared" si="6"/>
        <v>0</v>
      </c>
      <c r="L23" s="63">
        <f t="shared" si="7"/>
        <v>0</v>
      </c>
      <c r="M23" s="64">
        <f t="shared" si="8"/>
        <v>0</v>
      </c>
      <c r="N23" s="65" t="str">
        <f t="shared" si="9"/>
        <v>بی‌حساب</v>
      </c>
    </row>
    <row r="24" spans="2:14" ht="17.25" customHeight="1">
      <c r="B24" s="67" t="s">
        <v>148</v>
      </c>
      <c r="C24" s="142" t="s">
        <v>3</v>
      </c>
      <c r="D24" s="144" t="s">
        <v>6</v>
      </c>
      <c r="E24" s="145" t="s">
        <v>148</v>
      </c>
      <c r="F24" s="145" t="s">
        <v>37</v>
      </c>
      <c r="G24" s="146">
        <f>SUMIFS('ریز گزارش ارزی'!$AC$8:$AC$63,'ریز گزارش ارزی'!$AC$8:$AC$63,"&gt;0",'ریز گزارش ارزی'!$AG$8:$AG$63,"قرض",'ریز گزارش ارزی'!$H$8:$H$63,F24,'ریز گزارش ارزی'!$F$8:$F$63,B24,'ریز گزارش ارزی'!$G$8:$G$63,C24,'ریز گزارش ارزی'!$AO$8:$AO$63,D24,'ریز گزارش ارزی'!$AP$8:$AP$63,E24)</f>
        <v>0</v>
      </c>
      <c r="H24" s="146">
        <f>SUMIFS('ریز گزارش ارزی'!$AD$8:$AD$63,'ریز گزارش ارزی'!$AD$8:$AD$63,"&gt;0",'ریز گزارش ارزی'!$AG$8:$AG$63,"قرض",'ریز گزارش ارزی'!$H$8:$H$63,F24,'ریز گزارش ارزی'!$F$8:$F$63,B24,'ریز گزارش ارزی'!$G$8:$G$63,C24,'ریز گزارش ارزی'!$AO$8:$AO$63,D24,'ریز گزارش ارزی'!$AP$8:$AP$63,E24)</f>
        <v>0</v>
      </c>
      <c r="I24" s="146">
        <f>SUMIFS('ریز گزارش ارزی'!$AC$8:$AC$63,'ریز گزارش ارزی'!$AC$8:$AC$63,"&gt;0",'ریز گزارش ارزی'!$AG$8:$AG$63,"عودت قرض",'ریز گزارش ارزی'!$H$8:$H$63,F24,'ریز گزارش ارزی'!$F$8:$F$63,B24,'ریز گزارش ارزی'!$G$8:$G$63,C24,'ریز گزارش ارزی'!$AO$8:$AO$63,D24,'ریز گزارش ارزی'!$AP$8:$AP$63,E24)</f>
        <v>0</v>
      </c>
      <c r="J24" s="146">
        <f>SUMIFS('ریز گزارش ارزی'!$AD$8:$AD$63,'ریز گزارش ارزی'!$AD$8:$AD$63,"&gt;0",'ریز گزارش ارزی'!$AG$8:$AG$63,"عودت قرض",'ریز گزارش ارزی'!$H$8:$H$63,F24,'ریز گزارش ارزی'!$F$8:$F$63,B24,'ریز گزارش ارزی'!$G$8:$G$63,C24,'ریز گزارش ارزی'!$AO$8:$AO$63,D24,'ریز گزارش ارزی'!$AP$8:$AP$63,E24)</f>
        <v>0</v>
      </c>
      <c r="K24" s="63">
        <f t="shared" si="6"/>
        <v>0</v>
      </c>
      <c r="L24" s="63">
        <f t="shared" si="7"/>
        <v>0</v>
      </c>
      <c r="M24" s="64">
        <f t="shared" si="8"/>
        <v>0</v>
      </c>
      <c r="N24" s="65" t="str">
        <f t="shared" si="9"/>
        <v>بی‌حساب</v>
      </c>
    </row>
    <row r="25" spans="2:14" ht="17.25" customHeight="1">
      <c r="B25" s="67" t="s">
        <v>148</v>
      </c>
      <c r="C25" s="142" t="s">
        <v>3</v>
      </c>
      <c r="D25" s="144" t="s">
        <v>0</v>
      </c>
      <c r="E25" s="145" t="s">
        <v>148</v>
      </c>
      <c r="F25" s="145" t="s">
        <v>37</v>
      </c>
      <c r="G25" s="146">
        <f>SUMIFS('ریز گزارش ارزی'!$AC$8:$AC$63,'ریز گزارش ارزی'!$AC$8:$AC$63,"&gt;0",'ریز گزارش ارزی'!$AG$8:$AG$63,"قرض",'ریز گزارش ارزی'!$H$8:$H$63,F25,'ریز گزارش ارزی'!$F$8:$F$63,B25,'ریز گزارش ارزی'!$G$8:$G$63,C25,'ریز گزارش ارزی'!$AO$8:$AO$63,D25,'ریز گزارش ارزی'!$AP$8:$AP$63,E25)</f>
        <v>0</v>
      </c>
      <c r="H25" s="146">
        <f>SUMIFS('ریز گزارش ارزی'!$AD$8:$AD$63,'ریز گزارش ارزی'!$AD$8:$AD$63,"&gt;0",'ریز گزارش ارزی'!$AG$8:$AG$63,"قرض",'ریز گزارش ارزی'!$H$8:$H$63,F25,'ریز گزارش ارزی'!$F$8:$F$63,B25,'ریز گزارش ارزی'!$G$8:$G$63,C25,'ریز گزارش ارزی'!$AO$8:$AO$63,D25,'ریز گزارش ارزی'!$AP$8:$AP$63,E25)</f>
        <v>0</v>
      </c>
      <c r="I25" s="146">
        <f>SUMIFS('ریز گزارش ارزی'!$AC$8:$AC$63,'ریز گزارش ارزی'!$AC$8:$AC$63,"&gt;0",'ریز گزارش ارزی'!$AG$8:$AG$63,"عودت قرض",'ریز گزارش ارزی'!$H$8:$H$63,F25,'ریز گزارش ارزی'!$F$8:$F$63,B25,'ریز گزارش ارزی'!$G$8:$G$63,C25,'ریز گزارش ارزی'!$AO$8:$AO$63,D25,'ریز گزارش ارزی'!$AP$8:$AP$63,E25)</f>
        <v>0</v>
      </c>
      <c r="J25" s="146">
        <f>SUMIFS('ریز گزارش ارزی'!$AD$8:$AD$63,'ریز گزارش ارزی'!$AD$8:$AD$63,"&gt;0",'ریز گزارش ارزی'!$AG$8:$AG$63,"عودت قرض",'ریز گزارش ارزی'!$H$8:$H$63,F25,'ریز گزارش ارزی'!$F$8:$F$63,B25,'ریز گزارش ارزی'!$G$8:$G$63,C25,'ریز گزارش ارزی'!$AO$8:$AO$63,D25,'ریز گزارش ارزی'!$AP$8:$AP$63,E25)</f>
        <v>0</v>
      </c>
      <c r="K25" s="63">
        <f t="shared" si="6"/>
        <v>0</v>
      </c>
      <c r="L25" s="63">
        <f t="shared" si="7"/>
        <v>0</v>
      </c>
      <c r="M25" s="64">
        <f t="shared" si="8"/>
        <v>0</v>
      </c>
      <c r="N25" s="65" t="str">
        <f t="shared" si="9"/>
        <v>بی‌حساب</v>
      </c>
    </row>
    <row r="26" spans="2:14" ht="17.25" customHeight="1">
      <c r="B26" s="67" t="s">
        <v>148</v>
      </c>
      <c r="C26" s="142" t="s">
        <v>3</v>
      </c>
      <c r="D26" s="144" t="s">
        <v>1</v>
      </c>
      <c r="E26" s="145" t="s">
        <v>148</v>
      </c>
      <c r="F26" s="145" t="s">
        <v>37</v>
      </c>
      <c r="G26" s="146">
        <f>SUMIFS('ریز گزارش ارزی'!$AC$8:$AC$63,'ریز گزارش ارزی'!$AC$8:$AC$63,"&gt;0",'ریز گزارش ارزی'!$AG$8:$AG$63,"قرض",'ریز گزارش ارزی'!$H$8:$H$63,F26,'ریز گزارش ارزی'!$F$8:$F$63,B26,'ریز گزارش ارزی'!$G$8:$G$63,C26,'ریز گزارش ارزی'!$AO$8:$AO$63,D26,'ریز گزارش ارزی'!$AP$8:$AP$63,E26)</f>
        <v>0</v>
      </c>
      <c r="H26" s="146">
        <f>SUMIFS('ریز گزارش ارزی'!$AD$8:$AD$63,'ریز گزارش ارزی'!$AD$8:$AD$63,"&gt;0",'ریز گزارش ارزی'!$AG$8:$AG$63,"قرض",'ریز گزارش ارزی'!$H$8:$H$63,F26,'ریز گزارش ارزی'!$F$8:$F$63,B26,'ریز گزارش ارزی'!$G$8:$G$63,C26,'ریز گزارش ارزی'!$AO$8:$AO$63,D26,'ریز گزارش ارزی'!$AP$8:$AP$63,E26)</f>
        <v>0</v>
      </c>
      <c r="I26" s="146">
        <f>SUMIFS('ریز گزارش ارزی'!$AC$8:$AC$63,'ریز گزارش ارزی'!$AC$8:$AC$63,"&gt;0",'ریز گزارش ارزی'!$AG$8:$AG$63,"عودت قرض",'ریز گزارش ارزی'!$H$8:$H$63,F26,'ریز گزارش ارزی'!$F$8:$F$63,B26,'ریز گزارش ارزی'!$G$8:$G$63,C26,'ریز گزارش ارزی'!$AO$8:$AO$63,D26,'ریز گزارش ارزی'!$AP$8:$AP$63,E26)</f>
        <v>0</v>
      </c>
      <c r="J26" s="146">
        <f>SUMIFS('ریز گزارش ارزی'!$AD$8:$AD$63,'ریز گزارش ارزی'!$AD$8:$AD$63,"&gt;0",'ریز گزارش ارزی'!$AG$8:$AG$63,"عودت قرض",'ریز گزارش ارزی'!$H$8:$H$63,F26,'ریز گزارش ارزی'!$F$8:$F$63,B26,'ریز گزارش ارزی'!$G$8:$G$63,C26,'ریز گزارش ارزی'!$AO$8:$AO$63,D26,'ریز گزارش ارزی'!$AP$8:$AP$63,E26)</f>
        <v>0</v>
      </c>
      <c r="K26" s="63">
        <f t="shared" si="6"/>
        <v>0</v>
      </c>
      <c r="L26" s="63">
        <f t="shared" si="7"/>
        <v>0</v>
      </c>
      <c r="M26" s="64">
        <f t="shared" si="8"/>
        <v>0</v>
      </c>
      <c r="N26" s="65" t="str">
        <f t="shared" si="9"/>
        <v>بی‌حساب</v>
      </c>
    </row>
    <row r="27" spans="2:14" ht="17.25" customHeight="1">
      <c r="B27" s="67" t="s">
        <v>148</v>
      </c>
      <c r="C27" s="142" t="s">
        <v>3</v>
      </c>
      <c r="D27" s="144" t="s">
        <v>9</v>
      </c>
      <c r="E27" s="145" t="s">
        <v>148</v>
      </c>
      <c r="F27" s="145" t="s">
        <v>37</v>
      </c>
      <c r="G27" s="146">
        <f>SUMIFS('ریز گزارش ارزی'!$AC$8:$AC$63,'ریز گزارش ارزی'!$AC$8:$AC$63,"&gt;0",'ریز گزارش ارزی'!$AG$8:$AG$63,"قرض",'ریز گزارش ارزی'!$H$8:$H$63,F27,'ریز گزارش ارزی'!$F$8:$F$63,B27,'ریز گزارش ارزی'!$G$8:$G$63,C27,'ریز گزارش ارزی'!$AO$8:$AO$63,D27,'ریز گزارش ارزی'!$AP$8:$AP$63,E27)</f>
        <v>0</v>
      </c>
      <c r="H27" s="146">
        <f>SUMIFS('ریز گزارش ارزی'!$AD$8:$AD$63,'ریز گزارش ارزی'!$AD$8:$AD$63,"&gt;0",'ریز گزارش ارزی'!$AG$8:$AG$63,"قرض",'ریز گزارش ارزی'!$H$8:$H$63,F27,'ریز گزارش ارزی'!$F$8:$F$63,B27,'ریز گزارش ارزی'!$G$8:$G$63,C27,'ریز گزارش ارزی'!$AO$8:$AO$63,D27,'ریز گزارش ارزی'!$AP$8:$AP$63,E27)</f>
        <v>0</v>
      </c>
      <c r="I27" s="146">
        <f>SUMIFS('ریز گزارش ارزی'!$AC$8:$AC$63,'ریز گزارش ارزی'!$AC$8:$AC$63,"&gt;0",'ریز گزارش ارزی'!$AG$8:$AG$63,"عودت قرض",'ریز گزارش ارزی'!$H$8:$H$63,F27,'ریز گزارش ارزی'!$F$8:$F$63,B27,'ریز گزارش ارزی'!$G$8:$G$63,C27,'ریز گزارش ارزی'!$AO$8:$AO$63,D27,'ریز گزارش ارزی'!$AP$8:$AP$63,E27)</f>
        <v>0</v>
      </c>
      <c r="J27" s="146">
        <f>SUMIFS('ریز گزارش ارزی'!$AD$8:$AD$63,'ریز گزارش ارزی'!$AD$8:$AD$63,"&gt;0",'ریز گزارش ارزی'!$AG$8:$AG$63,"عودت قرض",'ریز گزارش ارزی'!$H$8:$H$63,F27,'ریز گزارش ارزی'!$F$8:$F$63,B27,'ریز گزارش ارزی'!$G$8:$G$63,C27,'ریز گزارش ارزی'!$AO$8:$AO$63,D27,'ریز گزارش ارزی'!$AP$8:$AP$63,E27)</f>
        <v>0</v>
      </c>
      <c r="K27" s="63">
        <f t="shared" si="6"/>
        <v>0</v>
      </c>
      <c r="L27" s="63">
        <f t="shared" si="7"/>
        <v>0</v>
      </c>
      <c r="M27" s="64">
        <f t="shared" si="8"/>
        <v>0</v>
      </c>
      <c r="N27" s="65" t="str">
        <f t="shared" si="9"/>
        <v>بی‌حساب</v>
      </c>
    </row>
    <row r="28" spans="2:14" ht="17.25" customHeight="1">
      <c r="B28" s="67" t="s">
        <v>148</v>
      </c>
      <c r="C28" s="142" t="s">
        <v>3</v>
      </c>
      <c r="D28" s="144" t="s">
        <v>14</v>
      </c>
      <c r="E28" s="145" t="s">
        <v>148</v>
      </c>
      <c r="F28" s="145" t="s">
        <v>37</v>
      </c>
      <c r="G28" s="146">
        <f>SUMIFS('ریز گزارش ارزی'!$AC$8:$AC$63,'ریز گزارش ارزی'!$AC$8:$AC$63,"&gt;0",'ریز گزارش ارزی'!$AG$8:$AG$63,"قرض",'ریز گزارش ارزی'!$H$8:$H$63,F28,'ریز گزارش ارزی'!$F$8:$F$63,B28,'ریز گزارش ارزی'!$G$8:$G$63,C28,'ریز گزارش ارزی'!$AO$8:$AO$63,D28,'ریز گزارش ارزی'!$AP$8:$AP$63,E28)</f>
        <v>0</v>
      </c>
      <c r="H28" s="146">
        <f>SUMIFS('ریز گزارش ارزی'!$AD$8:$AD$63,'ریز گزارش ارزی'!$AD$8:$AD$63,"&gt;0",'ریز گزارش ارزی'!$AG$8:$AG$63,"قرض",'ریز گزارش ارزی'!$H$8:$H$63,F28,'ریز گزارش ارزی'!$F$8:$F$63,B28,'ریز گزارش ارزی'!$G$8:$G$63,C28,'ریز گزارش ارزی'!$AO$8:$AO$63,D28,'ریز گزارش ارزی'!$AP$8:$AP$63,E28)</f>
        <v>0</v>
      </c>
      <c r="I28" s="146">
        <f>SUMIFS('ریز گزارش ارزی'!$AC$8:$AC$63,'ریز گزارش ارزی'!$AC$8:$AC$63,"&gt;0",'ریز گزارش ارزی'!$AG$8:$AG$63,"عودت قرض",'ریز گزارش ارزی'!$H$8:$H$63,F28,'ریز گزارش ارزی'!$F$8:$F$63,B28,'ریز گزارش ارزی'!$G$8:$G$63,C28,'ریز گزارش ارزی'!$AO$8:$AO$63,D28,'ریز گزارش ارزی'!$AP$8:$AP$63,E28)</f>
        <v>0</v>
      </c>
      <c r="J28" s="146">
        <f>SUMIFS('ریز گزارش ارزی'!$AD$8:$AD$63,'ریز گزارش ارزی'!$AD$8:$AD$63,"&gt;0",'ریز گزارش ارزی'!$AG$8:$AG$63,"عودت قرض",'ریز گزارش ارزی'!$H$8:$H$63,F28,'ریز گزارش ارزی'!$F$8:$F$63,B28,'ریز گزارش ارزی'!$G$8:$G$63,C28,'ریز گزارش ارزی'!$AO$8:$AO$63,D28,'ریز گزارش ارزی'!$AP$8:$AP$63,E28)</f>
        <v>0</v>
      </c>
      <c r="K28" s="63">
        <f t="shared" si="6"/>
        <v>0</v>
      </c>
      <c r="L28" s="63">
        <f t="shared" si="7"/>
        <v>0</v>
      </c>
      <c r="M28" s="64">
        <f t="shared" si="8"/>
        <v>0</v>
      </c>
      <c r="N28" s="65" t="str">
        <f t="shared" si="9"/>
        <v>بی‌حساب</v>
      </c>
    </row>
    <row r="29" spans="2:14" ht="17.25" customHeight="1">
      <c r="B29" s="67" t="s">
        <v>148</v>
      </c>
      <c r="C29" s="142" t="s">
        <v>3</v>
      </c>
      <c r="D29" s="144" t="s">
        <v>5</v>
      </c>
      <c r="E29" s="145" t="s">
        <v>148</v>
      </c>
      <c r="F29" s="145" t="s">
        <v>37</v>
      </c>
      <c r="G29" s="146">
        <f>SUMIFS('ریز گزارش ارزی'!$AC$8:$AC$63,'ریز گزارش ارزی'!$AC$8:$AC$63,"&gt;0",'ریز گزارش ارزی'!$AG$8:$AG$63,"قرض",'ریز گزارش ارزی'!$H$8:$H$63,F29,'ریز گزارش ارزی'!$F$8:$F$63,B29,'ریز گزارش ارزی'!$G$8:$G$63,C29,'ریز گزارش ارزی'!$AO$8:$AO$63,D29,'ریز گزارش ارزی'!$AP$8:$AP$63,E29)</f>
        <v>0</v>
      </c>
      <c r="H29" s="146">
        <f>SUMIFS('ریز گزارش ارزی'!$AD$8:$AD$63,'ریز گزارش ارزی'!$AD$8:$AD$63,"&gt;0",'ریز گزارش ارزی'!$AG$8:$AG$63,"قرض",'ریز گزارش ارزی'!$H$8:$H$63,F29,'ریز گزارش ارزی'!$F$8:$F$63,B29,'ریز گزارش ارزی'!$G$8:$G$63,C29,'ریز گزارش ارزی'!$AO$8:$AO$63,D29,'ریز گزارش ارزی'!$AP$8:$AP$63,E29)</f>
        <v>0</v>
      </c>
      <c r="I29" s="146">
        <f>SUMIFS('ریز گزارش ارزی'!$AC$8:$AC$63,'ریز گزارش ارزی'!$AC$8:$AC$63,"&gt;0",'ریز گزارش ارزی'!$AG$8:$AG$63,"عودت قرض",'ریز گزارش ارزی'!$H$8:$H$63,F29,'ریز گزارش ارزی'!$F$8:$F$63,B29,'ریز گزارش ارزی'!$G$8:$G$63,C29,'ریز گزارش ارزی'!$AO$8:$AO$63,D29,'ریز گزارش ارزی'!$AP$8:$AP$63,E29)</f>
        <v>0</v>
      </c>
      <c r="J29" s="146">
        <f>SUMIFS('ریز گزارش ارزی'!$AD$8:$AD$63,'ریز گزارش ارزی'!$AD$8:$AD$63,"&gt;0",'ریز گزارش ارزی'!$AG$8:$AG$63,"عودت قرض",'ریز گزارش ارزی'!$H$8:$H$63,F29,'ریز گزارش ارزی'!$F$8:$F$63,B29,'ریز گزارش ارزی'!$G$8:$G$63,C29,'ریز گزارش ارزی'!$AO$8:$AO$63,D29,'ریز گزارش ارزی'!$AP$8:$AP$63,E29)</f>
        <v>0</v>
      </c>
      <c r="K29" s="63">
        <f t="shared" si="6"/>
        <v>0</v>
      </c>
      <c r="L29" s="63">
        <f t="shared" si="7"/>
        <v>0</v>
      </c>
      <c r="M29" s="64">
        <f t="shared" si="8"/>
        <v>0</v>
      </c>
      <c r="N29" s="65" t="str">
        <f t="shared" si="9"/>
        <v>بی‌حساب</v>
      </c>
    </row>
    <row r="30" spans="2:14" ht="17.25" customHeight="1">
      <c r="B30" s="67" t="s">
        <v>148</v>
      </c>
      <c r="C30" s="59" t="s">
        <v>9</v>
      </c>
      <c r="D30" s="55" t="s">
        <v>6</v>
      </c>
      <c r="E30" s="56" t="s">
        <v>148</v>
      </c>
      <c r="F30" s="56" t="s">
        <v>37</v>
      </c>
      <c r="G30" s="62">
        <f>SUMIFS('ریز گزارش ارزی'!$AC$8:$AC$63,'ریز گزارش ارزی'!$AC$8:$AC$63,"&gt;0",'ریز گزارش ارزی'!$AG$8:$AG$63,"قرض",'ریز گزارش ارزی'!$H$8:$H$63,F30,'ریز گزارش ارزی'!$F$8:$F$63,B30,'ریز گزارش ارزی'!$G$8:$G$63,C30,'ریز گزارش ارزی'!$AO$8:$AO$63,D30,'ریز گزارش ارزی'!$AP$8:$AP$63,E30)</f>
        <v>14</v>
      </c>
      <c r="H30" s="62">
        <f>SUMIFS('ریز گزارش ارزی'!$AD$8:$AD$63,'ریز گزارش ارزی'!$AD$8:$AD$63,"&gt;0",'ریز گزارش ارزی'!$AG$8:$AG$63,"قرض",'ریز گزارش ارزی'!$H$8:$H$63,F30,'ریز گزارش ارزی'!$F$8:$F$63,B30,'ریز گزارش ارزی'!$G$8:$G$63,C30,'ریز گزارش ارزی'!$AO$8:$AO$63,D30,'ریز گزارش ارزی'!$AP$8:$AP$63,E30)</f>
        <v>0</v>
      </c>
      <c r="I30" s="62">
        <f>SUMIFS('ریز گزارش ارزی'!$AC$8:$AC$63,'ریز گزارش ارزی'!$AC$8:$AC$63,"&gt;0",'ریز گزارش ارزی'!$AG$8:$AG$63,"عودت قرض",'ریز گزارش ارزی'!$H$8:$H$63,F30,'ریز گزارش ارزی'!$F$8:$F$63,B30,'ریز گزارش ارزی'!$G$8:$G$63,C30,'ریز گزارش ارزی'!$AO$8:$AO$63,D30,'ریز گزارش ارزی'!$AP$8:$AP$63,E30)</f>
        <v>0</v>
      </c>
      <c r="J30" s="62">
        <f>SUMIFS('ریز گزارش ارزی'!$AD$8:$AD$63,'ریز گزارش ارزی'!$AD$8:$AD$63,"&gt;0",'ریز گزارش ارزی'!$AG$8:$AG$63,"عودت قرض",'ریز گزارش ارزی'!$H$8:$H$63,F30,'ریز گزارش ارزی'!$F$8:$F$63,B30,'ریز گزارش ارزی'!$G$8:$G$63,C30,'ریز گزارش ارزی'!$AO$8:$AO$63,D30,'ریز گزارش ارزی'!$AP$8:$AP$63,E30)</f>
        <v>0</v>
      </c>
      <c r="K30" s="63">
        <f t="shared" si="6"/>
        <v>0</v>
      </c>
      <c r="L30" s="63">
        <f t="shared" si="7"/>
        <v>14</v>
      </c>
      <c r="M30" s="64">
        <f t="shared" si="8"/>
        <v>-14</v>
      </c>
      <c r="N30" s="65" t="str">
        <f t="shared" si="9"/>
        <v>بدهکار</v>
      </c>
    </row>
    <row r="31" spans="2:14" ht="17.25" customHeight="1">
      <c r="B31" s="67" t="s">
        <v>148</v>
      </c>
      <c r="C31" s="59" t="s">
        <v>9</v>
      </c>
      <c r="D31" s="55" t="s">
        <v>0</v>
      </c>
      <c r="E31" s="56" t="s">
        <v>148</v>
      </c>
      <c r="F31" s="56" t="s">
        <v>37</v>
      </c>
      <c r="G31" s="62">
        <f>SUMIFS('ریز گزارش ارزی'!$AC$8:$AC$63,'ریز گزارش ارزی'!$AC$8:$AC$63,"&gt;0",'ریز گزارش ارزی'!$AG$8:$AG$63,"قرض",'ریز گزارش ارزی'!$H$8:$H$63,F31,'ریز گزارش ارزی'!$F$8:$F$63,B31,'ریز گزارش ارزی'!$G$8:$G$63,C31,'ریز گزارش ارزی'!$AO$8:$AO$63,D31,'ریز گزارش ارزی'!$AP$8:$AP$63,E31)</f>
        <v>0</v>
      </c>
      <c r="H31" s="62">
        <f>SUMIFS('ریز گزارش ارزی'!$AD$8:$AD$63,'ریز گزارش ارزی'!$AD$8:$AD$63,"&gt;0",'ریز گزارش ارزی'!$AG$8:$AG$63,"قرض",'ریز گزارش ارزی'!$H$8:$H$63,F31,'ریز گزارش ارزی'!$F$8:$F$63,B31,'ریز گزارش ارزی'!$G$8:$G$63,C31,'ریز گزارش ارزی'!$AO$8:$AO$63,D31,'ریز گزارش ارزی'!$AP$8:$AP$63,E31)</f>
        <v>105</v>
      </c>
      <c r="I31" s="62">
        <f>SUMIFS('ریز گزارش ارزی'!$AC$8:$AC$63,'ریز گزارش ارزی'!$AC$8:$AC$63,"&gt;0",'ریز گزارش ارزی'!$AG$8:$AG$63,"عودت قرض",'ریز گزارش ارزی'!$H$8:$H$63,F31,'ریز گزارش ارزی'!$F$8:$F$63,B31,'ریز گزارش ارزی'!$G$8:$G$63,C31,'ریز گزارش ارزی'!$AO$8:$AO$63,D31,'ریز گزارش ارزی'!$AP$8:$AP$63,E31)</f>
        <v>68</v>
      </c>
      <c r="J31" s="62">
        <f>SUMIFS('ریز گزارش ارزی'!$AD$8:$AD$63,'ریز گزارش ارزی'!$AD$8:$AD$63,"&gt;0",'ریز گزارش ارزی'!$AG$8:$AG$63,"عودت قرض",'ریز گزارش ارزی'!$H$8:$H$63,F31,'ریز گزارش ارزی'!$F$8:$F$63,B31,'ریز گزارش ارزی'!$G$8:$G$63,C31,'ریز گزارش ارزی'!$AO$8:$AO$63,D31,'ریز گزارش ارزی'!$AP$8:$AP$63,E31)</f>
        <v>0</v>
      </c>
      <c r="K31" s="63">
        <f t="shared" si="6"/>
        <v>37</v>
      </c>
      <c r="L31" s="63">
        <f t="shared" si="7"/>
        <v>0</v>
      </c>
      <c r="M31" s="64">
        <f t="shared" si="8"/>
        <v>37</v>
      </c>
      <c r="N31" s="65" t="str">
        <f t="shared" si="9"/>
        <v>طلبکار</v>
      </c>
    </row>
    <row r="32" spans="2:14" ht="17.25" customHeight="1">
      <c r="B32" s="67" t="s">
        <v>148</v>
      </c>
      <c r="C32" s="59" t="s">
        <v>9</v>
      </c>
      <c r="D32" s="55" t="s">
        <v>1</v>
      </c>
      <c r="E32" s="56" t="s">
        <v>148</v>
      </c>
      <c r="F32" s="56" t="s">
        <v>37</v>
      </c>
      <c r="G32" s="62">
        <f>SUMIFS('ریز گزارش ارزی'!$AC$8:$AC$63,'ریز گزارش ارزی'!$AC$8:$AC$63,"&gt;0",'ریز گزارش ارزی'!$AG$8:$AG$63,"قرض",'ریز گزارش ارزی'!$H$8:$H$63,F32,'ریز گزارش ارزی'!$F$8:$F$63,B32,'ریز گزارش ارزی'!$G$8:$G$63,C32,'ریز گزارش ارزی'!$AO$8:$AO$63,D32,'ریز گزارش ارزی'!$AP$8:$AP$63,E32)</f>
        <v>0</v>
      </c>
      <c r="H32" s="62">
        <f>SUMIFS('ریز گزارش ارزی'!$AD$8:$AD$63,'ریز گزارش ارزی'!$AD$8:$AD$63,"&gt;0",'ریز گزارش ارزی'!$AG$8:$AG$63,"قرض",'ریز گزارش ارزی'!$H$8:$H$63,F32,'ریز گزارش ارزی'!$F$8:$F$63,B32,'ریز گزارش ارزی'!$G$8:$G$63,C32,'ریز گزارش ارزی'!$AO$8:$AO$63,D32,'ریز گزارش ارزی'!$AP$8:$AP$63,E32)</f>
        <v>0</v>
      </c>
      <c r="I32" s="62">
        <f>SUMIFS('ریز گزارش ارزی'!$AC$8:$AC$63,'ریز گزارش ارزی'!$AC$8:$AC$63,"&gt;0",'ریز گزارش ارزی'!$AG$8:$AG$63,"عودت قرض",'ریز گزارش ارزی'!$H$8:$H$63,F32,'ریز گزارش ارزی'!$F$8:$F$63,B32,'ریز گزارش ارزی'!$G$8:$G$63,C32,'ریز گزارش ارزی'!$AO$8:$AO$63,D32,'ریز گزارش ارزی'!$AP$8:$AP$63,E32)</f>
        <v>0</v>
      </c>
      <c r="J32" s="62">
        <f>SUMIFS('ریز گزارش ارزی'!$AD$8:$AD$63,'ریز گزارش ارزی'!$AD$8:$AD$63,"&gt;0",'ریز گزارش ارزی'!$AG$8:$AG$63,"عودت قرض",'ریز گزارش ارزی'!$H$8:$H$63,F32,'ریز گزارش ارزی'!$F$8:$F$63,B32,'ریز گزارش ارزی'!$G$8:$G$63,C32,'ریز گزارش ارزی'!$AO$8:$AO$63,D32,'ریز گزارش ارزی'!$AP$8:$AP$63,E32)</f>
        <v>0</v>
      </c>
      <c r="K32" s="63">
        <f t="shared" si="6"/>
        <v>0</v>
      </c>
      <c r="L32" s="63">
        <f t="shared" si="7"/>
        <v>0</v>
      </c>
      <c r="M32" s="64">
        <f t="shared" si="8"/>
        <v>0</v>
      </c>
      <c r="N32" s="65" t="str">
        <f t="shared" si="9"/>
        <v>بی‌حساب</v>
      </c>
    </row>
    <row r="33" spans="2:14" ht="17.25" customHeight="1">
      <c r="B33" s="67" t="s">
        <v>148</v>
      </c>
      <c r="C33" s="59" t="s">
        <v>9</v>
      </c>
      <c r="D33" s="55" t="s">
        <v>3</v>
      </c>
      <c r="E33" s="56" t="s">
        <v>148</v>
      </c>
      <c r="F33" s="56" t="s">
        <v>37</v>
      </c>
      <c r="G33" s="62">
        <f>SUMIFS('ریز گزارش ارزی'!$AC$8:$AC$63,'ریز گزارش ارزی'!$AC$8:$AC$63,"&gt;0",'ریز گزارش ارزی'!$AG$8:$AG$63,"قرض",'ریز گزارش ارزی'!$H$8:$H$63,F33,'ریز گزارش ارزی'!$F$8:$F$63,B33,'ریز گزارش ارزی'!$G$8:$G$63,C33,'ریز گزارش ارزی'!$AO$8:$AO$63,D33,'ریز گزارش ارزی'!$AP$8:$AP$63,E33)</f>
        <v>0</v>
      </c>
      <c r="H33" s="62">
        <f>SUMIFS('ریز گزارش ارزی'!$AD$8:$AD$63,'ریز گزارش ارزی'!$AD$8:$AD$63,"&gt;0",'ریز گزارش ارزی'!$AG$8:$AG$63,"قرض",'ریز گزارش ارزی'!$H$8:$H$63,F33,'ریز گزارش ارزی'!$F$8:$F$63,B33,'ریز گزارش ارزی'!$G$8:$G$63,C33,'ریز گزارش ارزی'!$AO$8:$AO$63,D33,'ریز گزارش ارزی'!$AP$8:$AP$63,E33)</f>
        <v>0</v>
      </c>
      <c r="I33" s="62">
        <f>SUMIFS('ریز گزارش ارزی'!$AC$8:$AC$63,'ریز گزارش ارزی'!$AC$8:$AC$63,"&gt;0",'ریز گزارش ارزی'!$AG$8:$AG$63,"عودت قرض",'ریز گزارش ارزی'!$H$8:$H$63,F33,'ریز گزارش ارزی'!$F$8:$F$63,B33,'ریز گزارش ارزی'!$G$8:$G$63,C33,'ریز گزارش ارزی'!$AO$8:$AO$63,D33,'ریز گزارش ارزی'!$AP$8:$AP$63,E33)</f>
        <v>0</v>
      </c>
      <c r="J33" s="62">
        <f>SUMIFS('ریز گزارش ارزی'!$AD$8:$AD$63,'ریز گزارش ارزی'!$AD$8:$AD$63,"&gt;0",'ریز گزارش ارزی'!$AG$8:$AG$63,"عودت قرض",'ریز گزارش ارزی'!$H$8:$H$63,F33,'ریز گزارش ارزی'!$F$8:$F$63,B33,'ریز گزارش ارزی'!$G$8:$G$63,C33,'ریز گزارش ارزی'!$AO$8:$AO$63,D33,'ریز گزارش ارزی'!$AP$8:$AP$63,E33)</f>
        <v>0</v>
      </c>
      <c r="K33" s="63">
        <f t="shared" si="6"/>
        <v>0</v>
      </c>
      <c r="L33" s="63">
        <f t="shared" si="7"/>
        <v>0</v>
      </c>
      <c r="M33" s="64">
        <f t="shared" si="8"/>
        <v>0</v>
      </c>
      <c r="N33" s="65" t="str">
        <f t="shared" si="9"/>
        <v>بی‌حساب</v>
      </c>
    </row>
    <row r="34" spans="2:14" ht="17.25" customHeight="1">
      <c r="B34" s="67" t="s">
        <v>148</v>
      </c>
      <c r="C34" s="59" t="s">
        <v>9</v>
      </c>
      <c r="D34" s="55" t="s">
        <v>14</v>
      </c>
      <c r="E34" s="56" t="s">
        <v>148</v>
      </c>
      <c r="F34" s="56" t="s">
        <v>37</v>
      </c>
      <c r="G34" s="62">
        <f>SUMIFS('ریز گزارش ارزی'!$AC$8:$AC$63,'ریز گزارش ارزی'!$AC$8:$AC$63,"&gt;0",'ریز گزارش ارزی'!$AG$8:$AG$63,"قرض",'ریز گزارش ارزی'!$H$8:$H$63,F34,'ریز گزارش ارزی'!$F$8:$F$63,B34,'ریز گزارش ارزی'!$G$8:$G$63,C34,'ریز گزارش ارزی'!$AO$8:$AO$63,D34,'ریز گزارش ارزی'!$AP$8:$AP$63,E34)</f>
        <v>16</v>
      </c>
      <c r="H34" s="62">
        <f>SUMIFS('ریز گزارش ارزی'!$AD$8:$AD$63,'ریز گزارش ارزی'!$AD$8:$AD$63,"&gt;0",'ریز گزارش ارزی'!$AG$8:$AG$63,"قرض",'ریز گزارش ارزی'!$H$8:$H$63,F34,'ریز گزارش ارزی'!$F$8:$F$63,B34,'ریز گزارش ارزی'!$G$8:$G$63,C34,'ریز گزارش ارزی'!$AO$8:$AO$63,D34,'ریز گزارش ارزی'!$AP$8:$AP$63,E34)</f>
        <v>0</v>
      </c>
      <c r="I34" s="62">
        <f>SUMIFS('ریز گزارش ارزی'!$AC$8:$AC$63,'ریز گزارش ارزی'!$AC$8:$AC$63,"&gt;0",'ریز گزارش ارزی'!$AG$8:$AG$63,"عودت قرض",'ریز گزارش ارزی'!$H$8:$H$63,F34,'ریز گزارش ارزی'!$F$8:$F$63,B34,'ریز گزارش ارزی'!$G$8:$G$63,C34,'ریز گزارش ارزی'!$AO$8:$AO$63,D34,'ریز گزارش ارزی'!$AP$8:$AP$63,E34)</f>
        <v>0</v>
      </c>
      <c r="J34" s="62">
        <f>SUMIFS('ریز گزارش ارزی'!$AD$8:$AD$63,'ریز گزارش ارزی'!$AD$8:$AD$63,"&gt;0",'ریز گزارش ارزی'!$AG$8:$AG$63,"عودت قرض",'ریز گزارش ارزی'!$H$8:$H$63,F34,'ریز گزارش ارزی'!$F$8:$F$63,B34,'ریز گزارش ارزی'!$G$8:$G$63,C34,'ریز گزارش ارزی'!$AO$8:$AO$63,D34,'ریز گزارش ارزی'!$AP$8:$AP$63,E34)</f>
        <v>0</v>
      </c>
      <c r="K34" s="63">
        <f t="shared" ref="K34:K41" si="10">H34-I34</f>
        <v>0</v>
      </c>
      <c r="L34" s="63">
        <f t="shared" ref="L34:L41" si="11">G34-J34</f>
        <v>16</v>
      </c>
      <c r="M34" s="64">
        <f t="shared" ref="M34:M41" si="12">K34-L34</f>
        <v>-16</v>
      </c>
      <c r="N34" s="65" t="str">
        <f t="shared" ref="N34:N41" si="13">IF(M34=0,"بی‌حساب",IF(M34&gt;0,"طلبکار","بدهکار"))</f>
        <v>بدهکار</v>
      </c>
    </row>
    <row r="35" spans="2:14" ht="17.25" customHeight="1">
      <c r="B35" s="67" t="s">
        <v>148</v>
      </c>
      <c r="C35" s="59" t="s">
        <v>9</v>
      </c>
      <c r="D35" s="55" t="s">
        <v>5</v>
      </c>
      <c r="E35" s="56" t="s">
        <v>148</v>
      </c>
      <c r="F35" s="56" t="s">
        <v>37</v>
      </c>
      <c r="G35" s="62">
        <f>SUMIFS('ریز گزارش ارزی'!$AC$8:$AC$63,'ریز گزارش ارزی'!$AC$8:$AC$63,"&gt;0",'ریز گزارش ارزی'!$AG$8:$AG$63,"قرض",'ریز گزارش ارزی'!$H$8:$H$63,F35,'ریز گزارش ارزی'!$F$8:$F$63,B35,'ریز گزارش ارزی'!$G$8:$G$63,C35,'ریز گزارش ارزی'!$AO$8:$AO$63,D35,'ریز گزارش ارزی'!$AP$8:$AP$63,E35)</f>
        <v>0</v>
      </c>
      <c r="H35" s="62">
        <f>SUMIFS('ریز گزارش ارزی'!$AD$8:$AD$63,'ریز گزارش ارزی'!$AD$8:$AD$63,"&gt;0",'ریز گزارش ارزی'!$AG$8:$AG$63,"قرض",'ریز گزارش ارزی'!$H$8:$H$63,F35,'ریز گزارش ارزی'!$F$8:$F$63,B35,'ریز گزارش ارزی'!$G$8:$G$63,C35,'ریز گزارش ارزی'!$AO$8:$AO$63,D35,'ریز گزارش ارزی'!$AP$8:$AP$63,E35)</f>
        <v>0</v>
      </c>
      <c r="I35" s="62">
        <f>SUMIFS('ریز گزارش ارزی'!$AC$8:$AC$63,'ریز گزارش ارزی'!$AC$8:$AC$63,"&gt;0",'ریز گزارش ارزی'!$AG$8:$AG$63,"عودت قرض",'ریز گزارش ارزی'!$H$8:$H$63,F35,'ریز گزارش ارزی'!$F$8:$F$63,B35,'ریز گزارش ارزی'!$G$8:$G$63,C35,'ریز گزارش ارزی'!$AO$8:$AO$63,D35,'ریز گزارش ارزی'!$AP$8:$AP$63,E35)</f>
        <v>0</v>
      </c>
      <c r="J35" s="62">
        <f>SUMIFS('ریز گزارش ارزی'!$AD$8:$AD$63,'ریز گزارش ارزی'!$AD$8:$AD$63,"&gt;0",'ریز گزارش ارزی'!$AG$8:$AG$63,"عودت قرض",'ریز گزارش ارزی'!$H$8:$H$63,F35,'ریز گزارش ارزی'!$F$8:$F$63,B35,'ریز گزارش ارزی'!$G$8:$G$63,C35,'ریز گزارش ارزی'!$AO$8:$AO$63,D35,'ریز گزارش ارزی'!$AP$8:$AP$63,E35)</f>
        <v>0</v>
      </c>
      <c r="K35" s="63">
        <f t="shared" si="10"/>
        <v>0</v>
      </c>
      <c r="L35" s="63">
        <f t="shared" si="11"/>
        <v>0</v>
      </c>
      <c r="M35" s="64">
        <f t="shared" si="12"/>
        <v>0</v>
      </c>
      <c r="N35" s="65" t="str">
        <f t="shared" si="13"/>
        <v>بی‌حساب</v>
      </c>
    </row>
    <row r="36" spans="2:14" ht="17.25" customHeight="1">
      <c r="B36" s="67" t="s">
        <v>148</v>
      </c>
      <c r="C36" s="60" t="s">
        <v>14</v>
      </c>
      <c r="D36" s="144" t="s">
        <v>6</v>
      </c>
      <c r="E36" s="145" t="s">
        <v>148</v>
      </c>
      <c r="F36" s="145" t="s">
        <v>37</v>
      </c>
      <c r="G36" s="146">
        <f>SUMIFS('ریز گزارش ارزی'!$AC$8:$AC$63,'ریز گزارش ارزی'!$AC$8:$AC$63,"&gt;0",'ریز گزارش ارزی'!$AG$8:$AG$63,"قرض",'ریز گزارش ارزی'!$H$8:$H$63,F36,'ریز گزارش ارزی'!$F$8:$F$63,B36,'ریز گزارش ارزی'!$G$8:$G$63,C36,'ریز گزارش ارزی'!$AO$8:$AO$63,D36,'ریز گزارش ارزی'!$AP$8:$AP$63,E36)</f>
        <v>0</v>
      </c>
      <c r="H36" s="146">
        <f>SUMIFS('ریز گزارش ارزی'!$AD$8:$AD$63,'ریز گزارش ارزی'!$AD$8:$AD$63,"&gt;0",'ریز گزارش ارزی'!$AG$8:$AG$63,"قرض",'ریز گزارش ارزی'!$H$8:$H$63,F36,'ریز گزارش ارزی'!$F$8:$F$63,B36,'ریز گزارش ارزی'!$G$8:$G$63,C36,'ریز گزارش ارزی'!$AO$8:$AO$63,D36,'ریز گزارش ارزی'!$AP$8:$AP$63,E36)</f>
        <v>0</v>
      </c>
      <c r="I36" s="146">
        <f>SUMIFS('ریز گزارش ارزی'!$AC$8:$AC$63,'ریز گزارش ارزی'!$AC$8:$AC$63,"&gt;0",'ریز گزارش ارزی'!$AG$8:$AG$63,"عودت قرض",'ریز گزارش ارزی'!$H$8:$H$63,F36,'ریز گزارش ارزی'!$F$8:$F$63,B36,'ریز گزارش ارزی'!$G$8:$G$63,C36,'ریز گزارش ارزی'!$AO$8:$AO$63,D36,'ریز گزارش ارزی'!$AP$8:$AP$63,E36)</f>
        <v>0</v>
      </c>
      <c r="J36" s="146">
        <f>SUMIFS('ریز گزارش ارزی'!$AD$8:$AD$63,'ریز گزارش ارزی'!$AD$8:$AD$63,"&gt;0",'ریز گزارش ارزی'!$AG$8:$AG$63,"عودت قرض",'ریز گزارش ارزی'!$H$8:$H$63,F36,'ریز گزارش ارزی'!$F$8:$F$63,B36,'ریز گزارش ارزی'!$G$8:$G$63,C36,'ریز گزارش ارزی'!$AO$8:$AO$63,D36,'ریز گزارش ارزی'!$AP$8:$AP$63,E36)</f>
        <v>0</v>
      </c>
      <c r="K36" s="63">
        <f t="shared" si="10"/>
        <v>0</v>
      </c>
      <c r="L36" s="63">
        <f t="shared" si="11"/>
        <v>0</v>
      </c>
      <c r="M36" s="64">
        <f t="shared" si="12"/>
        <v>0</v>
      </c>
      <c r="N36" s="65" t="str">
        <f t="shared" si="13"/>
        <v>بی‌حساب</v>
      </c>
    </row>
    <row r="37" spans="2:14" ht="17.25" customHeight="1">
      <c r="B37" s="67" t="s">
        <v>148</v>
      </c>
      <c r="C37" s="60" t="s">
        <v>14</v>
      </c>
      <c r="D37" s="144" t="s">
        <v>0</v>
      </c>
      <c r="E37" s="145" t="s">
        <v>148</v>
      </c>
      <c r="F37" s="145" t="s">
        <v>37</v>
      </c>
      <c r="G37" s="146">
        <f>SUMIFS('ریز گزارش ارزی'!$AC$8:$AC$63,'ریز گزارش ارزی'!$AC$8:$AC$63,"&gt;0",'ریز گزارش ارزی'!$AG$8:$AG$63,"قرض",'ریز گزارش ارزی'!$H$8:$H$63,F37,'ریز گزارش ارزی'!$F$8:$F$63,B37,'ریز گزارش ارزی'!$G$8:$G$63,C37,'ریز گزارش ارزی'!$AO$8:$AO$63,D37,'ریز گزارش ارزی'!$AP$8:$AP$63,E37)</f>
        <v>0</v>
      </c>
      <c r="H37" s="146">
        <f>SUMIFS('ریز گزارش ارزی'!$AD$8:$AD$63,'ریز گزارش ارزی'!$AD$8:$AD$63,"&gt;0",'ریز گزارش ارزی'!$AG$8:$AG$63,"قرض",'ریز گزارش ارزی'!$H$8:$H$63,F37,'ریز گزارش ارزی'!$F$8:$F$63,B37,'ریز گزارش ارزی'!$G$8:$G$63,C37,'ریز گزارش ارزی'!$AO$8:$AO$63,D37,'ریز گزارش ارزی'!$AP$8:$AP$63,E37)</f>
        <v>14</v>
      </c>
      <c r="I37" s="146">
        <f>SUMIFS('ریز گزارش ارزی'!$AC$8:$AC$63,'ریز گزارش ارزی'!$AC$8:$AC$63,"&gt;0",'ریز گزارش ارزی'!$AG$8:$AG$63,"عودت قرض",'ریز گزارش ارزی'!$H$8:$H$63,F37,'ریز گزارش ارزی'!$F$8:$F$63,B37,'ریز گزارش ارزی'!$G$8:$G$63,C37,'ریز گزارش ارزی'!$AO$8:$AO$63,D37,'ریز گزارش ارزی'!$AP$8:$AP$63,E37)</f>
        <v>0</v>
      </c>
      <c r="J37" s="146">
        <f>SUMIFS('ریز گزارش ارزی'!$AD$8:$AD$63,'ریز گزارش ارزی'!$AD$8:$AD$63,"&gt;0",'ریز گزارش ارزی'!$AG$8:$AG$63,"عودت قرض",'ریز گزارش ارزی'!$H$8:$H$63,F37,'ریز گزارش ارزی'!$F$8:$F$63,B37,'ریز گزارش ارزی'!$G$8:$G$63,C37,'ریز گزارش ارزی'!$AO$8:$AO$63,D37,'ریز گزارش ارزی'!$AP$8:$AP$63,E37)</f>
        <v>0</v>
      </c>
      <c r="K37" s="63">
        <f t="shared" si="10"/>
        <v>14</v>
      </c>
      <c r="L37" s="63">
        <f t="shared" si="11"/>
        <v>0</v>
      </c>
      <c r="M37" s="64">
        <f t="shared" si="12"/>
        <v>14</v>
      </c>
      <c r="N37" s="65" t="str">
        <f t="shared" si="13"/>
        <v>طلبکار</v>
      </c>
    </row>
    <row r="38" spans="2:14" ht="17.25" customHeight="1">
      <c r="B38" s="67" t="s">
        <v>148</v>
      </c>
      <c r="C38" s="60" t="s">
        <v>14</v>
      </c>
      <c r="D38" s="144" t="s">
        <v>1</v>
      </c>
      <c r="E38" s="145" t="s">
        <v>148</v>
      </c>
      <c r="F38" s="145" t="s">
        <v>37</v>
      </c>
      <c r="G38" s="146">
        <f>SUMIFS('ریز گزارش ارزی'!$AC$8:$AC$63,'ریز گزارش ارزی'!$AC$8:$AC$63,"&gt;0",'ریز گزارش ارزی'!$AG$8:$AG$63,"قرض",'ریز گزارش ارزی'!$H$8:$H$63,F38,'ریز گزارش ارزی'!$F$8:$F$63,B38,'ریز گزارش ارزی'!$G$8:$G$63,C38,'ریز گزارش ارزی'!$AO$8:$AO$63,D38,'ریز گزارش ارزی'!$AP$8:$AP$63,E38)</f>
        <v>0</v>
      </c>
      <c r="H38" s="146">
        <f>SUMIFS('ریز گزارش ارزی'!$AD$8:$AD$63,'ریز گزارش ارزی'!$AD$8:$AD$63,"&gt;0",'ریز گزارش ارزی'!$AG$8:$AG$63,"قرض",'ریز گزارش ارزی'!$H$8:$H$63,F38,'ریز گزارش ارزی'!$F$8:$F$63,B38,'ریز گزارش ارزی'!$G$8:$G$63,C38,'ریز گزارش ارزی'!$AO$8:$AO$63,D38,'ریز گزارش ارزی'!$AP$8:$AP$63,E38)</f>
        <v>0</v>
      </c>
      <c r="I38" s="146">
        <f>SUMIFS('ریز گزارش ارزی'!$AC$8:$AC$63,'ریز گزارش ارزی'!$AC$8:$AC$63,"&gt;0",'ریز گزارش ارزی'!$AG$8:$AG$63,"عودت قرض",'ریز گزارش ارزی'!$H$8:$H$63,F38,'ریز گزارش ارزی'!$F$8:$F$63,B38,'ریز گزارش ارزی'!$G$8:$G$63,C38,'ریز گزارش ارزی'!$AO$8:$AO$63,D38,'ریز گزارش ارزی'!$AP$8:$AP$63,E38)</f>
        <v>0</v>
      </c>
      <c r="J38" s="146">
        <f>SUMIFS('ریز گزارش ارزی'!$AD$8:$AD$63,'ریز گزارش ارزی'!$AD$8:$AD$63,"&gt;0",'ریز گزارش ارزی'!$AG$8:$AG$63,"عودت قرض",'ریز گزارش ارزی'!$H$8:$H$63,F38,'ریز گزارش ارزی'!$F$8:$F$63,B38,'ریز گزارش ارزی'!$G$8:$G$63,C38,'ریز گزارش ارزی'!$AO$8:$AO$63,D38,'ریز گزارش ارزی'!$AP$8:$AP$63,E38)</f>
        <v>0</v>
      </c>
      <c r="K38" s="63">
        <f t="shared" si="10"/>
        <v>0</v>
      </c>
      <c r="L38" s="63">
        <f t="shared" si="11"/>
        <v>0</v>
      </c>
      <c r="M38" s="64">
        <f t="shared" si="12"/>
        <v>0</v>
      </c>
      <c r="N38" s="65" t="str">
        <f t="shared" si="13"/>
        <v>بی‌حساب</v>
      </c>
    </row>
    <row r="39" spans="2:14" ht="17.25" customHeight="1">
      <c r="B39" s="67" t="s">
        <v>148</v>
      </c>
      <c r="C39" s="60" t="s">
        <v>14</v>
      </c>
      <c r="D39" s="144" t="s">
        <v>3</v>
      </c>
      <c r="E39" s="145" t="s">
        <v>148</v>
      </c>
      <c r="F39" s="145" t="s">
        <v>37</v>
      </c>
      <c r="G39" s="146">
        <f>SUMIFS('ریز گزارش ارزی'!$AC$8:$AC$63,'ریز گزارش ارزی'!$AC$8:$AC$63,"&gt;0",'ریز گزارش ارزی'!$AG$8:$AG$63,"قرض",'ریز گزارش ارزی'!$H$8:$H$63,F39,'ریز گزارش ارزی'!$F$8:$F$63,B39,'ریز گزارش ارزی'!$G$8:$G$63,C39,'ریز گزارش ارزی'!$AO$8:$AO$63,D39,'ریز گزارش ارزی'!$AP$8:$AP$63,E39)</f>
        <v>0</v>
      </c>
      <c r="H39" s="146">
        <f>SUMIFS('ریز گزارش ارزی'!$AD$8:$AD$63,'ریز گزارش ارزی'!$AD$8:$AD$63,"&gt;0",'ریز گزارش ارزی'!$AG$8:$AG$63,"قرض",'ریز گزارش ارزی'!$H$8:$H$63,F39,'ریز گزارش ارزی'!$F$8:$F$63,B39,'ریز گزارش ارزی'!$G$8:$G$63,C39,'ریز گزارش ارزی'!$AO$8:$AO$63,D39,'ریز گزارش ارزی'!$AP$8:$AP$63,E39)</f>
        <v>0</v>
      </c>
      <c r="I39" s="146">
        <f>SUMIFS('ریز گزارش ارزی'!$AC$8:$AC$63,'ریز گزارش ارزی'!$AC$8:$AC$63,"&gt;0",'ریز گزارش ارزی'!$AG$8:$AG$63,"عودت قرض",'ریز گزارش ارزی'!$H$8:$H$63,F39,'ریز گزارش ارزی'!$F$8:$F$63,B39,'ریز گزارش ارزی'!$G$8:$G$63,C39,'ریز گزارش ارزی'!$AO$8:$AO$63,D39,'ریز گزارش ارزی'!$AP$8:$AP$63,E39)</f>
        <v>0</v>
      </c>
      <c r="J39" s="146">
        <f>SUMIFS('ریز گزارش ارزی'!$AD$8:$AD$63,'ریز گزارش ارزی'!$AD$8:$AD$63,"&gt;0",'ریز گزارش ارزی'!$AG$8:$AG$63,"عودت قرض",'ریز گزارش ارزی'!$H$8:$H$63,F39,'ریز گزارش ارزی'!$F$8:$F$63,B39,'ریز گزارش ارزی'!$G$8:$G$63,C39,'ریز گزارش ارزی'!$AO$8:$AO$63,D39,'ریز گزارش ارزی'!$AP$8:$AP$63,E39)</f>
        <v>0</v>
      </c>
      <c r="K39" s="63">
        <f t="shared" si="10"/>
        <v>0</v>
      </c>
      <c r="L39" s="63">
        <f t="shared" si="11"/>
        <v>0</v>
      </c>
      <c r="M39" s="64">
        <f t="shared" si="12"/>
        <v>0</v>
      </c>
      <c r="N39" s="65" t="str">
        <f t="shared" si="13"/>
        <v>بی‌حساب</v>
      </c>
    </row>
    <row r="40" spans="2:14" ht="17.25" customHeight="1">
      <c r="B40" s="67" t="s">
        <v>148</v>
      </c>
      <c r="C40" s="60" t="s">
        <v>14</v>
      </c>
      <c r="D40" s="144" t="s">
        <v>9</v>
      </c>
      <c r="E40" s="145" t="s">
        <v>148</v>
      </c>
      <c r="F40" s="145" t="s">
        <v>37</v>
      </c>
      <c r="G40" s="146">
        <f>SUMIFS('ریز گزارش ارزی'!$AC$8:$AC$63,'ریز گزارش ارزی'!$AC$8:$AC$63,"&gt;0",'ریز گزارش ارزی'!$AG$8:$AG$63,"قرض",'ریز گزارش ارزی'!$H$8:$H$63,F40,'ریز گزارش ارزی'!$F$8:$F$63,B40,'ریز گزارش ارزی'!$G$8:$G$63,C40,'ریز گزارش ارزی'!$AO$8:$AO$63,D40,'ریز گزارش ارزی'!$AP$8:$AP$63,E40)</f>
        <v>0</v>
      </c>
      <c r="H40" s="146">
        <f>SUMIFS('ریز گزارش ارزی'!$AD$8:$AD$63,'ریز گزارش ارزی'!$AD$8:$AD$63,"&gt;0",'ریز گزارش ارزی'!$AG$8:$AG$63,"قرض",'ریز گزارش ارزی'!$H$8:$H$63,F40,'ریز گزارش ارزی'!$F$8:$F$63,B40,'ریز گزارش ارزی'!$G$8:$G$63,C40,'ریز گزارش ارزی'!$AO$8:$AO$63,D40,'ریز گزارش ارزی'!$AP$8:$AP$63,E40)</f>
        <v>16</v>
      </c>
      <c r="I40" s="146">
        <f>SUMIFS('ریز گزارش ارزی'!$AC$8:$AC$63,'ریز گزارش ارزی'!$AC$8:$AC$63,"&gt;0",'ریز گزارش ارزی'!$AG$8:$AG$63,"عودت قرض",'ریز گزارش ارزی'!$H$8:$H$63,F40,'ریز گزارش ارزی'!$F$8:$F$63,B40,'ریز گزارش ارزی'!$G$8:$G$63,C40,'ریز گزارش ارزی'!$AO$8:$AO$63,D40,'ریز گزارش ارزی'!$AP$8:$AP$63,E40)</f>
        <v>0</v>
      </c>
      <c r="J40" s="146">
        <f>SUMIFS('ریز گزارش ارزی'!$AD$8:$AD$63,'ریز گزارش ارزی'!$AD$8:$AD$63,"&gt;0",'ریز گزارش ارزی'!$AG$8:$AG$63,"عودت قرض",'ریز گزارش ارزی'!$H$8:$H$63,F40,'ریز گزارش ارزی'!$F$8:$F$63,B40,'ریز گزارش ارزی'!$G$8:$G$63,C40,'ریز گزارش ارزی'!$AO$8:$AO$63,D40,'ریز گزارش ارزی'!$AP$8:$AP$63,E40)</f>
        <v>0</v>
      </c>
      <c r="K40" s="63">
        <f t="shared" si="10"/>
        <v>16</v>
      </c>
      <c r="L40" s="63">
        <f t="shared" si="11"/>
        <v>0</v>
      </c>
      <c r="M40" s="64">
        <f t="shared" si="12"/>
        <v>16</v>
      </c>
      <c r="N40" s="65" t="str">
        <f t="shared" si="13"/>
        <v>طلبکار</v>
      </c>
    </row>
    <row r="41" spans="2:14" ht="17.25" customHeight="1">
      <c r="B41" s="67" t="s">
        <v>148</v>
      </c>
      <c r="C41" s="60" t="s">
        <v>14</v>
      </c>
      <c r="D41" s="144" t="s">
        <v>5</v>
      </c>
      <c r="E41" s="145" t="s">
        <v>148</v>
      </c>
      <c r="F41" s="145" t="s">
        <v>37</v>
      </c>
      <c r="G41" s="146">
        <f>SUMIFS('ریز گزارش ارزی'!$AC$8:$AC$63,'ریز گزارش ارزی'!$AC$8:$AC$63,"&gt;0",'ریز گزارش ارزی'!$AG$8:$AG$63,"قرض",'ریز گزارش ارزی'!$H$8:$H$63,F41,'ریز گزارش ارزی'!$F$8:$F$63,B41,'ریز گزارش ارزی'!$G$8:$G$63,C41,'ریز گزارش ارزی'!$AO$8:$AO$63,D41,'ریز گزارش ارزی'!$AP$8:$AP$63,E41)</f>
        <v>0</v>
      </c>
      <c r="H41" s="146">
        <f>SUMIFS('ریز گزارش ارزی'!$AD$8:$AD$63,'ریز گزارش ارزی'!$AD$8:$AD$63,"&gt;0",'ریز گزارش ارزی'!$AG$8:$AG$63,"قرض",'ریز گزارش ارزی'!$H$8:$H$63,F41,'ریز گزارش ارزی'!$F$8:$F$63,B41,'ریز گزارش ارزی'!$G$8:$G$63,C41,'ریز گزارش ارزی'!$AO$8:$AO$63,D41,'ریز گزارش ارزی'!$AP$8:$AP$63,E41)</f>
        <v>0</v>
      </c>
      <c r="I41" s="146">
        <f>SUMIFS('ریز گزارش ارزی'!$AC$8:$AC$63,'ریز گزارش ارزی'!$AC$8:$AC$63,"&gt;0",'ریز گزارش ارزی'!$AG$8:$AG$63,"عودت قرض",'ریز گزارش ارزی'!$H$8:$H$63,F41,'ریز گزارش ارزی'!$F$8:$F$63,B41,'ریز گزارش ارزی'!$G$8:$G$63,C41,'ریز گزارش ارزی'!$AO$8:$AO$63,D41,'ریز گزارش ارزی'!$AP$8:$AP$63,E41)</f>
        <v>0</v>
      </c>
      <c r="J41" s="146">
        <f>SUMIFS('ریز گزارش ارزی'!$AD$8:$AD$63,'ریز گزارش ارزی'!$AD$8:$AD$63,"&gt;0",'ریز گزارش ارزی'!$AG$8:$AG$63,"عودت قرض",'ریز گزارش ارزی'!$H$8:$H$63,F41,'ریز گزارش ارزی'!$F$8:$F$63,B41,'ریز گزارش ارزی'!$G$8:$G$63,C41,'ریز گزارش ارزی'!$AO$8:$AO$63,D41,'ریز گزارش ارزی'!$AP$8:$AP$63,E41)</f>
        <v>0</v>
      </c>
      <c r="K41" s="63">
        <f t="shared" si="10"/>
        <v>0</v>
      </c>
      <c r="L41" s="63">
        <f t="shared" si="11"/>
        <v>0</v>
      </c>
      <c r="M41" s="64">
        <f t="shared" si="12"/>
        <v>0</v>
      </c>
      <c r="N41" s="65" t="str">
        <f t="shared" si="13"/>
        <v>بی‌حساب</v>
      </c>
    </row>
    <row r="42" spans="2:14" ht="17.25" customHeight="1">
      <c r="B42" s="67" t="s">
        <v>148</v>
      </c>
      <c r="C42" s="143" t="s">
        <v>5</v>
      </c>
      <c r="D42" s="55" t="s">
        <v>6</v>
      </c>
      <c r="E42" s="56" t="s">
        <v>148</v>
      </c>
      <c r="F42" s="56" t="s">
        <v>37</v>
      </c>
      <c r="G42" s="62">
        <f>SUMIFS('ریز گزارش ارزی'!$AC$8:$AC$63,'ریز گزارش ارزی'!$AC$8:$AC$63,"&gt;0",'ریز گزارش ارزی'!$AG$8:$AG$63,"قرض",'ریز گزارش ارزی'!$H$8:$H$63,F42,'ریز گزارش ارزی'!$F$8:$F$63,B42,'ریز گزارش ارزی'!$G$8:$G$63,C42,'ریز گزارش ارزی'!$AO$8:$AO$63,D42,'ریز گزارش ارزی'!$AP$8:$AP$63,E42)</f>
        <v>0</v>
      </c>
      <c r="H42" s="62">
        <f>SUMIFS('ریز گزارش ارزی'!$AD$8:$AD$63,'ریز گزارش ارزی'!$AD$8:$AD$63,"&gt;0",'ریز گزارش ارزی'!$AG$8:$AG$63,"قرض",'ریز گزارش ارزی'!$H$8:$H$63,F42,'ریز گزارش ارزی'!$F$8:$F$63,B42,'ریز گزارش ارزی'!$G$8:$G$63,C42,'ریز گزارش ارزی'!$AO$8:$AO$63,D42,'ریز گزارش ارزی'!$AP$8:$AP$63,E42)</f>
        <v>0</v>
      </c>
      <c r="I42" s="62">
        <f>SUMIFS('ریز گزارش ارزی'!$AC$8:$AC$63,'ریز گزارش ارزی'!$AC$8:$AC$63,"&gt;0",'ریز گزارش ارزی'!$AG$8:$AG$63,"عودت قرض",'ریز گزارش ارزی'!$H$8:$H$63,F42,'ریز گزارش ارزی'!$F$8:$F$63,B42,'ریز گزارش ارزی'!$G$8:$G$63,C42,'ریز گزارش ارزی'!$AO$8:$AO$63,D42,'ریز گزارش ارزی'!$AP$8:$AP$63,E42)</f>
        <v>0</v>
      </c>
      <c r="J42" s="62">
        <f>SUMIFS('ریز گزارش ارزی'!$AD$8:$AD$63,'ریز گزارش ارزی'!$AD$8:$AD$63,"&gt;0",'ریز گزارش ارزی'!$AG$8:$AG$63,"عودت قرض",'ریز گزارش ارزی'!$H$8:$H$63,F42,'ریز گزارش ارزی'!$F$8:$F$63,B42,'ریز گزارش ارزی'!$G$8:$G$63,C42,'ریز گزارش ارزی'!$AO$8:$AO$63,D42,'ریز گزارش ارزی'!$AP$8:$AP$63,E42)</f>
        <v>0</v>
      </c>
      <c r="K42" s="63">
        <f t="shared" ref="K42:K46" si="14">H42-I42</f>
        <v>0</v>
      </c>
      <c r="L42" s="63">
        <f t="shared" ref="L42:L46" si="15">G42-J42</f>
        <v>0</v>
      </c>
      <c r="M42" s="64">
        <f t="shared" ref="M42:M46" si="16">K42-L42</f>
        <v>0</v>
      </c>
      <c r="N42" s="65" t="str">
        <f t="shared" ref="N42:N46" si="17">IF(M42=0,"بی‌حساب",IF(M42&gt;0,"طلبکار","بدهکار"))</f>
        <v>بی‌حساب</v>
      </c>
    </row>
    <row r="43" spans="2:14" ht="17.25" customHeight="1">
      <c r="B43" s="67" t="s">
        <v>148</v>
      </c>
      <c r="C43" s="143" t="s">
        <v>5</v>
      </c>
      <c r="D43" s="55" t="s">
        <v>0</v>
      </c>
      <c r="E43" s="56" t="s">
        <v>148</v>
      </c>
      <c r="F43" s="56" t="s">
        <v>37</v>
      </c>
      <c r="G43" s="62">
        <f>SUMIFS('ریز گزارش ارزی'!$AC$8:$AC$63,'ریز گزارش ارزی'!$AC$8:$AC$63,"&gt;0",'ریز گزارش ارزی'!$AG$8:$AG$63,"قرض",'ریز گزارش ارزی'!$H$8:$H$63,F43,'ریز گزارش ارزی'!$F$8:$F$63,B43,'ریز گزارش ارزی'!$G$8:$G$63,C43,'ریز گزارش ارزی'!$AO$8:$AO$63,D43,'ریز گزارش ارزی'!$AP$8:$AP$63,E43)</f>
        <v>0</v>
      </c>
      <c r="H43" s="62">
        <f>SUMIFS('ریز گزارش ارزی'!$AD$8:$AD$63,'ریز گزارش ارزی'!$AD$8:$AD$63,"&gt;0",'ریز گزارش ارزی'!$AG$8:$AG$63,"قرض",'ریز گزارش ارزی'!$H$8:$H$63,F43,'ریز گزارش ارزی'!$F$8:$F$63,B43,'ریز گزارش ارزی'!$G$8:$G$63,C43,'ریز گزارش ارزی'!$AO$8:$AO$63,D43,'ریز گزارش ارزی'!$AP$8:$AP$63,E43)</f>
        <v>0</v>
      </c>
      <c r="I43" s="62">
        <f>SUMIFS('ریز گزارش ارزی'!$AC$8:$AC$63,'ریز گزارش ارزی'!$AC$8:$AC$63,"&gt;0",'ریز گزارش ارزی'!$AG$8:$AG$63,"عودت قرض",'ریز گزارش ارزی'!$H$8:$H$63,F43,'ریز گزارش ارزی'!$F$8:$F$63,B43,'ریز گزارش ارزی'!$G$8:$G$63,C43,'ریز گزارش ارزی'!$AO$8:$AO$63,D43,'ریز گزارش ارزی'!$AP$8:$AP$63,E43)</f>
        <v>0</v>
      </c>
      <c r="J43" s="62">
        <f>SUMIFS('ریز گزارش ارزی'!$AD$8:$AD$63,'ریز گزارش ارزی'!$AD$8:$AD$63,"&gt;0",'ریز گزارش ارزی'!$AG$8:$AG$63,"عودت قرض",'ریز گزارش ارزی'!$H$8:$H$63,F43,'ریز گزارش ارزی'!$F$8:$F$63,B43,'ریز گزارش ارزی'!$G$8:$G$63,C43,'ریز گزارش ارزی'!$AO$8:$AO$63,D43,'ریز گزارش ارزی'!$AP$8:$AP$63,E43)</f>
        <v>0</v>
      </c>
      <c r="K43" s="63">
        <f t="shared" si="14"/>
        <v>0</v>
      </c>
      <c r="L43" s="63">
        <f t="shared" si="15"/>
        <v>0</v>
      </c>
      <c r="M43" s="64">
        <f t="shared" si="16"/>
        <v>0</v>
      </c>
      <c r="N43" s="65" t="str">
        <f t="shared" si="17"/>
        <v>بی‌حساب</v>
      </c>
    </row>
    <row r="44" spans="2:14" ht="17.25" customHeight="1">
      <c r="B44" s="67" t="s">
        <v>148</v>
      </c>
      <c r="C44" s="143" t="s">
        <v>5</v>
      </c>
      <c r="D44" s="55" t="s">
        <v>1</v>
      </c>
      <c r="E44" s="56" t="s">
        <v>148</v>
      </c>
      <c r="F44" s="56" t="s">
        <v>37</v>
      </c>
      <c r="G44" s="62">
        <f>SUMIFS('ریز گزارش ارزی'!$AC$8:$AC$63,'ریز گزارش ارزی'!$AC$8:$AC$63,"&gt;0",'ریز گزارش ارزی'!$AG$8:$AG$63,"قرض",'ریز گزارش ارزی'!$H$8:$H$63,F44,'ریز گزارش ارزی'!$F$8:$F$63,B44,'ریز گزارش ارزی'!$G$8:$G$63,C44,'ریز گزارش ارزی'!$AO$8:$AO$63,D44,'ریز گزارش ارزی'!$AP$8:$AP$63,E44)</f>
        <v>0</v>
      </c>
      <c r="H44" s="62">
        <f>SUMIFS('ریز گزارش ارزی'!$AD$8:$AD$63,'ریز گزارش ارزی'!$AD$8:$AD$63,"&gt;0",'ریز گزارش ارزی'!$AG$8:$AG$63,"قرض",'ریز گزارش ارزی'!$H$8:$H$63,F44,'ریز گزارش ارزی'!$F$8:$F$63,B44,'ریز گزارش ارزی'!$G$8:$G$63,C44,'ریز گزارش ارزی'!$AO$8:$AO$63,D44,'ریز گزارش ارزی'!$AP$8:$AP$63,E44)</f>
        <v>0</v>
      </c>
      <c r="I44" s="62">
        <f>SUMIFS('ریز گزارش ارزی'!$AC$8:$AC$63,'ریز گزارش ارزی'!$AC$8:$AC$63,"&gt;0",'ریز گزارش ارزی'!$AG$8:$AG$63,"عودت قرض",'ریز گزارش ارزی'!$H$8:$H$63,F44,'ریز گزارش ارزی'!$F$8:$F$63,B44,'ریز گزارش ارزی'!$G$8:$G$63,C44,'ریز گزارش ارزی'!$AO$8:$AO$63,D44,'ریز گزارش ارزی'!$AP$8:$AP$63,E44)</f>
        <v>0</v>
      </c>
      <c r="J44" s="62">
        <f>SUMIFS('ریز گزارش ارزی'!$AD$8:$AD$63,'ریز گزارش ارزی'!$AD$8:$AD$63,"&gt;0",'ریز گزارش ارزی'!$AG$8:$AG$63,"عودت قرض",'ریز گزارش ارزی'!$H$8:$H$63,F44,'ریز گزارش ارزی'!$F$8:$F$63,B44,'ریز گزارش ارزی'!$G$8:$G$63,C44,'ریز گزارش ارزی'!$AO$8:$AO$63,D44,'ریز گزارش ارزی'!$AP$8:$AP$63,E44)</f>
        <v>0</v>
      </c>
      <c r="K44" s="63">
        <f t="shared" si="14"/>
        <v>0</v>
      </c>
      <c r="L44" s="63">
        <f t="shared" si="15"/>
        <v>0</v>
      </c>
      <c r="M44" s="64">
        <f t="shared" si="16"/>
        <v>0</v>
      </c>
      <c r="N44" s="65" t="str">
        <f t="shared" si="17"/>
        <v>بی‌حساب</v>
      </c>
    </row>
    <row r="45" spans="2:14" ht="17.25" customHeight="1">
      <c r="B45" s="67" t="s">
        <v>148</v>
      </c>
      <c r="C45" s="143" t="s">
        <v>5</v>
      </c>
      <c r="D45" s="55" t="s">
        <v>3</v>
      </c>
      <c r="E45" s="56" t="s">
        <v>148</v>
      </c>
      <c r="F45" s="56" t="s">
        <v>37</v>
      </c>
      <c r="G45" s="62">
        <f>SUMIFS('ریز گزارش ارزی'!$AC$8:$AC$63,'ریز گزارش ارزی'!$AC$8:$AC$63,"&gt;0",'ریز گزارش ارزی'!$AG$8:$AG$63,"قرض",'ریز گزارش ارزی'!$H$8:$H$63,F45,'ریز گزارش ارزی'!$F$8:$F$63,B45,'ریز گزارش ارزی'!$G$8:$G$63,C45,'ریز گزارش ارزی'!$AO$8:$AO$63,D45,'ریز گزارش ارزی'!$AP$8:$AP$63,E45)</f>
        <v>0</v>
      </c>
      <c r="H45" s="62">
        <f>SUMIFS('ریز گزارش ارزی'!$AD$8:$AD$63,'ریز گزارش ارزی'!$AD$8:$AD$63,"&gt;0",'ریز گزارش ارزی'!$AG$8:$AG$63,"قرض",'ریز گزارش ارزی'!$H$8:$H$63,F45,'ریز گزارش ارزی'!$F$8:$F$63,B45,'ریز گزارش ارزی'!$G$8:$G$63,C45,'ریز گزارش ارزی'!$AO$8:$AO$63,D45,'ریز گزارش ارزی'!$AP$8:$AP$63,E45)</f>
        <v>0</v>
      </c>
      <c r="I45" s="62">
        <f>SUMIFS('ریز گزارش ارزی'!$AC$8:$AC$63,'ریز گزارش ارزی'!$AC$8:$AC$63,"&gt;0",'ریز گزارش ارزی'!$AG$8:$AG$63,"عودت قرض",'ریز گزارش ارزی'!$H$8:$H$63,F45,'ریز گزارش ارزی'!$F$8:$F$63,B45,'ریز گزارش ارزی'!$G$8:$G$63,C45,'ریز گزارش ارزی'!$AO$8:$AO$63,D45,'ریز گزارش ارزی'!$AP$8:$AP$63,E45)</f>
        <v>0</v>
      </c>
      <c r="J45" s="62">
        <f>SUMIFS('ریز گزارش ارزی'!$AD$8:$AD$63,'ریز گزارش ارزی'!$AD$8:$AD$63,"&gt;0",'ریز گزارش ارزی'!$AG$8:$AG$63,"عودت قرض",'ریز گزارش ارزی'!$H$8:$H$63,F45,'ریز گزارش ارزی'!$F$8:$F$63,B45,'ریز گزارش ارزی'!$G$8:$G$63,C45,'ریز گزارش ارزی'!$AO$8:$AO$63,D45,'ریز گزارش ارزی'!$AP$8:$AP$63,E45)</f>
        <v>0</v>
      </c>
      <c r="K45" s="63">
        <f t="shared" si="14"/>
        <v>0</v>
      </c>
      <c r="L45" s="63">
        <f t="shared" si="15"/>
        <v>0</v>
      </c>
      <c r="M45" s="64">
        <f t="shared" si="16"/>
        <v>0</v>
      </c>
      <c r="N45" s="65" t="str">
        <f t="shared" si="17"/>
        <v>بی‌حساب</v>
      </c>
    </row>
    <row r="46" spans="2:14" ht="17.25" customHeight="1">
      <c r="B46" s="67" t="s">
        <v>148</v>
      </c>
      <c r="C46" s="143" t="s">
        <v>5</v>
      </c>
      <c r="D46" s="55" t="s">
        <v>9</v>
      </c>
      <c r="E46" s="56" t="s">
        <v>148</v>
      </c>
      <c r="F46" s="56" t="s">
        <v>37</v>
      </c>
      <c r="G46" s="62">
        <f>SUMIFS('ریز گزارش ارزی'!$AC$8:$AC$63,'ریز گزارش ارزی'!$AC$8:$AC$63,"&gt;0",'ریز گزارش ارزی'!$AG$8:$AG$63,"قرض",'ریز گزارش ارزی'!$H$8:$H$63,F46,'ریز گزارش ارزی'!$F$8:$F$63,B46,'ریز گزارش ارزی'!$G$8:$G$63,C46,'ریز گزارش ارزی'!$AO$8:$AO$63,D46,'ریز گزارش ارزی'!$AP$8:$AP$63,E46)</f>
        <v>0</v>
      </c>
      <c r="H46" s="62">
        <f>SUMIFS('ریز گزارش ارزی'!$AD$8:$AD$63,'ریز گزارش ارزی'!$AD$8:$AD$63,"&gt;0",'ریز گزارش ارزی'!$AG$8:$AG$63,"قرض",'ریز گزارش ارزی'!$H$8:$H$63,F46,'ریز گزارش ارزی'!$F$8:$F$63,B46,'ریز گزارش ارزی'!$G$8:$G$63,C46,'ریز گزارش ارزی'!$AO$8:$AO$63,D46,'ریز گزارش ارزی'!$AP$8:$AP$63,E46)</f>
        <v>0</v>
      </c>
      <c r="I46" s="62">
        <f>SUMIFS('ریز گزارش ارزی'!$AC$8:$AC$63,'ریز گزارش ارزی'!$AC$8:$AC$63,"&gt;0",'ریز گزارش ارزی'!$AG$8:$AG$63,"عودت قرض",'ریز گزارش ارزی'!$H$8:$H$63,F46,'ریز گزارش ارزی'!$F$8:$F$63,B46,'ریز گزارش ارزی'!$G$8:$G$63,C46,'ریز گزارش ارزی'!$AO$8:$AO$63,D46,'ریز گزارش ارزی'!$AP$8:$AP$63,E46)</f>
        <v>0</v>
      </c>
      <c r="J46" s="62">
        <f>SUMIFS('ریز گزارش ارزی'!$AD$8:$AD$63,'ریز گزارش ارزی'!$AD$8:$AD$63,"&gt;0",'ریز گزارش ارزی'!$AG$8:$AG$63,"عودت قرض",'ریز گزارش ارزی'!$H$8:$H$63,F46,'ریز گزارش ارزی'!$F$8:$F$63,B46,'ریز گزارش ارزی'!$G$8:$G$63,C46,'ریز گزارش ارزی'!$AO$8:$AO$63,D46,'ریز گزارش ارزی'!$AP$8:$AP$63,E46)</f>
        <v>0</v>
      </c>
      <c r="K46" s="63">
        <f t="shared" si="14"/>
        <v>0</v>
      </c>
      <c r="L46" s="63">
        <f t="shared" si="15"/>
        <v>0</v>
      </c>
      <c r="M46" s="64">
        <f t="shared" si="16"/>
        <v>0</v>
      </c>
      <c r="N46" s="65" t="str">
        <f t="shared" si="17"/>
        <v>بی‌حساب</v>
      </c>
    </row>
    <row r="47" spans="2:14" ht="17.25" customHeight="1">
      <c r="B47" s="67" t="s">
        <v>148</v>
      </c>
      <c r="C47" s="143" t="s">
        <v>5</v>
      </c>
      <c r="D47" s="55" t="s">
        <v>14</v>
      </c>
      <c r="E47" s="56" t="s">
        <v>148</v>
      </c>
      <c r="F47" s="56" t="s">
        <v>37</v>
      </c>
      <c r="G47" s="62">
        <f>SUMIFS('ریز گزارش ارزی'!$AC$8:$AC$63,'ریز گزارش ارزی'!$AC$8:$AC$63,"&gt;0",'ریز گزارش ارزی'!$AG$8:$AG$63,"قرض",'ریز گزارش ارزی'!$H$8:$H$63,F47,'ریز گزارش ارزی'!$F$8:$F$63,B47,'ریز گزارش ارزی'!$G$8:$G$63,C47,'ریز گزارش ارزی'!$AO$8:$AO$63,D47,'ریز گزارش ارزی'!$AP$8:$AP$63,E47)</f>
        <v>0</v>
      </c>
      <c r="H47" s="62">
        <f>SUMIFS('ریز گزارش ارزی'!$AD$8:$AD$63,'ریز گزارش ارزی'!$AD$8:$AD$63,"&gt;0",'ریز گزارش ارزی'!$AG$8:$AG$63,"قرض",'ریز گزارش ارزی'!$H$8:$H$63,F47,'ریز گزارش ارزی'!$F$8:$F$63,B47,'ریز گزارش ارزی'!$G$8:$G$63,C47,'ریز گزارش ارزی'!$AO$8:$AO$63,D47,'ریز گزارش ارزی'!$AP$8:$AP$63,E47)</f>
        <v>0</v>
      </c>
      <c r="I47" s="62">
        <f>SUMIFS('ریز گزارش ارزی'!$AC$8:$AC$63,'ریز گزارش ارزی'!$AC$8:$AC$63,"&gt;0",'ریز گزارش ارزی'!$AG$8:$AG$63,"عودت قرض",'ریز گزارش ارزی'!$H$8:$H$63,F47,'ریز گزارش ارزی'!$F$8:$F$63,B47,'ریز گزارش ارزی'!$G$8:$G$63,C47,'ریز گزارش ارزی'!$AO$8:$AO$63,D47,'ریز گزارش ارزی'!$AP$8:$AP$63,E47)</f>
        <v>0</v>
      </c>
      <c r="J47" s="62">
        <f>SUMIFS('ریز گزارش ارزی'!$AD$8:$AD$63,'ریز گزارش ارزی'!$AD$8:$AD$63,"&gt;0",'ریز گزارش ارزی'!$AG$8:$AG$63,"عودت قرض",'ریز گزارش ارزی'!$H$8:$H$63,F47,'ریز گزارش ارزی'!$F$8:$F$63,B47,'ریز گزارش ارزی'!$G$8:$G$63,C47,'ریز گزارش ارزی'!$AO$8:$AO$63,D47,'ریز گزارش ارزی'!$AP$8:$AP$63,E47)</f>
        <v>0</v>
      </c>
      <c r="K47" s="63">
        <f t="shared" ref="K47" si="18">H47-I47</f>
        <v>0</v>
      </c>
      <c r="L47" s="63">
        <f t="shared" ref="L47:L94" si="19">G47-J47</f>
        <v>0</v>
      </c>
      <c r="M47" s="64">
        <f t="shared" ref="M47" si="20">K47-L47</f>
        <v>0</v>
      </c>
      <c r="N47" s="65" t="str">
        <f t="shared" ref="N47:N94" si="21">IF(M47=0,"بی‌حساب",IF(M47&gt;0,"طلبکار","بدهکار"))</f>
        <v>بی‌حساب</v>
      </c>
    </row>
    <row r="48" spans="2:14" ht="17.25" customHeight="1">
      <c r="B48" s="67" t="s">
        <v>148</v>
      </c>
      <c r="C48" s="58" t="s">
        <v>6</v>
      </c>
      <c r="D48" s="144" t="s">
        <v>6</v>
      </c>
      <c r="E48" s="145" t="s">
        <v>156</v>
      </c>
      <c r="F48" s="145" t="s">
        <v>37</v>
      </c>
      <c r="G48" s="146">
        <f>SUMIFS('ریز گزارش ارزی'!$AC$8:$AC$63,'ریز گزارش ارزی'!$AC$8:$AC$63,"&gt;0",'ریز گزارش ارزی'!$AG$8:$AG$63,"قرض",'ریز گزارش ارزی'!$H$8:$H$63,F48,'ریز گزارش ارزی'!$F$8:$F$63,B48,'ریز گزارش ارزی'!$G$8:$G$63,C48,'ریز گزارش ارزی'!$AO$8:$AO$63,D48,'ریز گزارش ارزی'!$AP$8:$AP$63,E48)</f>
        <v>7</v>
      </c>
      <c r="H48" s="146">
        <f>SUMIFS('ریز گزارش ارزی'!$AD$8:$AD$63,'ریز گزارش ارزی'!$AD$8:$AD$63,"&gt;0",'ریز گزارش ارزی'!$AG$8:$AG$63,"قرض",'ریز گزارش ارزی'!$H$8:$H$63,F48,'ریز گزارش ارزی'!$F$8:$F$63,B48,'ریز گزارش ارزی'!$G$8:$G$63,C48,'ریز گزارش ارزی'!$AO$8:$AO$63,D48,'ریز گزارش ارزی'!$AP$8:$AP$63,E48)</f>
        <v>0</v>
      </c>
      <c r="I48" s="146">
        <f>SUMIFS('ریز گزارش ارزی'!$AC$8:$AC$63,'ریز گزارش ارزی'!$AC$8:$AC$63,"&gt;0",'ریز گزارش ارزی'!$AG$8:$AG$63,"عودت قرض",'ریز گزارش ارزی'!$H$8:$H$63,F48,'ریز گزارش ارزی'!$F$8:$F$63,B48,'ریز گزارش ارزی'!$G$8:$G$63,C48,'ریز گزارش ارزی'!$AO$8:$AO$63,D48,'ریز گزارش ارزی'!$AP$8:$AP$63,E48)</f>
        <v>0</v>
      </c>
      <c r="J48" s="146">
        <f>SUMIFS('ریز گزارش ارزی'!$AD$8:$AD$63,'ریز گزارش ارزی'!$AD$8:$AD$63,"&gt;0",'ریز گزارش ارزی'!$AG$8:$AG$63,"عودت قرض",'ریز گزارش ارزی'!$H$8:$H$63,F48,'ریز گزارش ارزی'!$F$8:$F$63,B48,'ریز گزارش ارزی'!$G$8:$G$63,C48,'ریز گزارش ارزی'!$AO$8:$AO$63,D48,'ریز گزارش ارزی'!$AP$8:$AP$63,E48)</f>
        <v>0</v>
      </c>
      <c r="K48" s="63">
        <f>H48-I48</f>
        <v>0</v>
      </c>
      <c r="L48" s="63">
        <f t="shared" ref="L48" si="22">G48-J48</f>
        <v>7</v>
      </c>
      <c r="M48" s="64">
        <f>K48-L48</f>
        <v>-7</v>
      </c>
      <c r="N48" s="65" t="str">
        <f t="shared" ref="N48" si="23">IF(M48=0,"بی‌حساب",IF(M48&gt;0,"طلبکار","بدهکار"))</f>
        <v>بدهکار</v>
      </c>
    </row>
    <row r="49" spans="2:14" ht="17.25" customHeight="1">
      <c r="B49" s="67" t="s">
        <v>148</v>
      </c>
      <c r="C49" s="58" t="s">
        <v>6</v>
      </c>
      <c r="D49" s="144" t="s">
        <v>0</v>
      </c>
      <c r="E49" s="145" t="s">
        <v>156</v>
      </c>
      <c r="F49" s="145" t="s">
        <v>37</v>
      </c>
      <c r="G49" s="146">
        <f>SUMIFS('ریز گزارش ارزی'!$AC$8:$AC$63,'ریز گزارش ارزی'!$AC$8:$AC$63,"&gt;0",'ریز گزارش ارزی'!$AG$8:$AG$63,"قرض",'ریز گزارش ارزی'!$H$8:$H$63,F49,'ریز گزارش ارزی'!$F$8:$F$63,B49,'ریز گزارش ارزی'!$G$8:$G$63,C49,'ریز گزارش ارزی'!$AO$8:$AO$63,D49,'ریز گزارش ارزی'!$AP$8:$AP$63,E49)</f>
        <v>0</v>
      </c>
      <c r="H49" s="146">
        <f>SUMIFS('ریز گزارش ارزی'!$AD$8:$AD$63,'ریز گزارش ارزی'!$AD$8:$AD$63,"&gt;0",'ریز گزارش ارزی'!$AG$8:$AG$63,"قرض",'ریز گزارش ارزی'!$H$8:$H$63,F49,'ریز گزارش ارزی'!$F$8:$F$63,B49,'ریز گزارش ارزی'!$G$8:$G$63,C49,'ریز گزارش ارزی'!$AO$8:$AO$63,D49,'ریز گزارش ارزی'!$AP$8:$AP$63,E49)</f>
        <v>0</v>
      </c>
      <c r="I49" s="146">
        <f>SUMIFS('ریز گزارش ارزی'!$AC$8:$AC$63,'ریز گزارش ارزی'!$AC$8:$AC$63,"&gt;0",'ریز گزارش ارزی'!$AG$8:$AG$63,"عودت قرض",'ریز گزارش ارزی'!$H$8:$H$63,F49,'ریز گزارش ارزی'!$F$8:$F$63,B49,'ریز گزارش ارزی'!$G$8:$G$63,C49,'ریز گزارش ارزی'!$AO$8:$AO$63,D49,'ریز گزارش ارزی'!$AP$8:$AP$63,E49)</f>
        <v>0</v>
      </c>
      <c r="J49" s="146">
        <f>SUMIFS('ریز گزارش ارزی'!$AD$8:$AD$63,'ریز گزارش ارزی'!$AD$8:$AD$63,"&gt;0",'ریز گزارش ارزی'!$AG$8:$AG$63,"عودت قرض",'ریز گزارش ارزی'!$H$8:$H$63,F49,'ریز گزارش ارزی'!$F$8:$F$63,B49,'ریز گزارش ارزی'!$G$8:$G$63,C49,'ریز گزارش ارزی'!$AO$8:$AO$63,D49,'ریز گزارش ارزی'!$AP$8:$AP$63,E49)</f>
        <v>0</v>
      </c>
      <c r="K49" s="63">
        <f>H49-I49</f>
        <v>0</v>
      </c>
      <c r="L49" s="63">
        <f t="shared" si="19"/>
        <v>0</v>
      </c>
      <c r="M49" s="64">
        <f>K49-L49</f>
        <v>0</v>
      </c>
      <c r="N49" s="65" t="str">
        <f t="shared" si="21"/>
        <v>بی‌حساب</v>
      </c>
    </row>
    <row r="50" spans="2:14" ht="17.25" customHeight="1">
      <c r="B50" s="67" t="s">
        <v>148</v>
      </c>
      <c r="C50" s="58" t="s">
        <v>6</v>
      </c>
      <c r="D50" s="144" t="s">
        <v>1</v>
      </c>
      <c r="E50" s="145" t="s">
        <v>156</v>
      </c>
      <c r="F50" s="145" t="s">
        <v>37</v>
      </c>
      <c r="G50" s="146">
        <f>SUMIFS('ریز گزارش ارزی'!$AC$8:$AC$63,'ریز گزارش ارزی'!$AC$8:$AC$63,"&gt;0",'ریز گزارش ارزی'!$AG$8:$AG$63,"قرض",'ریز گزارش ارزی'!$H$8:$H$63,F50,'ریز گزارش ارزی'!$F$8:$F$63,B50,'ریز گزارش ارزی'!$G$8:$G$63,C50,'ریز گزارش ارزی'!$AO$8:$AO$63,D50,'ریز گزارش ارزی'!$AP$8:$AP$63,E50)</f>
        <v>0</v>
      </c>
      <c r="H50" s="146">
        <f>SUMIFS('ریز گزارش ارزی'!$AD$8:$AD$63,'ریز گزارش ارزی'!$AD$8:$AD$63,"&gt;0",'ریز گزارش ارزی'!$AG$8:$AG$63,"قرض",'ریز گزارش ارزی'!$H$8:$H$63,F50,'ریز گزارش ارزی'!$F$8:$F$63,B50,'ریز گزارش ارزی'!$G$8:$G$63,C50,'ریز گزارش ارزی'!$AO$8:$AO$63,D50,'ریز گزارش ارزی'!$AP$8:$AP$63,E50)</f>
        <v>0</v>
      </c>
      <c r="I50" s="146">
        <f>SUMIFS('ریز گزارش ارزی'!$AC$8:$AC$63,'ریز گزارش ارزی'!$AC$8:$AC$63,"&gt;0",'ریز گزارش ارزی'!$AG$8:$AG$63,"عودت قرض",'ریز گزارش ارزی'!$H$8:$H$63,F50,'ریز گزارش ارزی'!$F$8:$F$63,B50,'ریز گزارش ارزی'!$G$8:$G$63,C50,'ریز گزارش ارزی'!$AO$8:$AO$63,D50,'ریز گزارش ارزی'!$AP$8:$AP$63,E50)</f>
        <v>0</v>
      </c>
      <c r="J50" s="146">
        <f>SUMIFS('ریز گزارش ارزی'!$AD$8:$AD$63,'ریز گزارش ارزی'!$AD$8:$AD$63,"&gt;0",'ریز گزارش ارزی'!$AG$8:$AG$63,"عودت قرض",'ریز گزارش ارزی'!$H$8:$H$63,F50,'ریز گزارش ارزی'!$F$8:$F$63,B50,'ریز گزارش ارزی'!$G$8:$G$63,C50,'ریز گزارش ارزی'!$AO$8:$AO$63,D50,'ریز گزارش ارزی'!$AP$8:$AP$63,E50)</f>
        <v>0</v>
      </c>
      <c r="K50" s="63">
        <f t="shared" ref="K50:K96" si="24">H50-I50</f>
        <v>0</v>
      </c>
      <c r="L50" s="63">
        <f t="shared" si="19"/>
        <v>0</v>
      </c>
      <c r="M50" s="64">
        <f t="shared" ref="M50:M96" si="25">K50-L50</f>
        <v>0</v>
      </c>
      <c r="N50" s="65" t="str">
        <f t="shared" si="21"/>
        <v>بی‌حساب</v>
      </c>
    </row>
    <row r="51" spans="2:14" ht="17.25" customHeight="1">
      <c r="B51" s="67" t="s">
        <v>148</v>
      </c>
      <c r="C51" s="58" t="s">
        <v>6</v>
      </c>
      <c r="D51" s="144" t="s">
        <v>3</v>
      </c>
      <c r="E51" s="145" t="s">
        <v>156</v>
      </c>
      <c r="F51" s="145" t="s">
        <v>37</v>
      </c>
      <c r="G51" s="146">
        <f>SUMIFS('ریز گزارش ارزی'!$AC$8:$AC$63,'ریز گزارش ارزی'!$AC$8:$AC$63,"&gt;0",'ریز گزارش ارزی'!$AG$8:$AG$63,"قرض",'ریز گزارش ارزی'!$H$8:$H$63,F51,'ریز گزارش ارزی'!$F$8:$F$63,B51,'ریز گزارش ارزی'!$G$8:$G$63,C51,'ریز گزارش ارزی'!$AO$8:$AO$63,D51,'ریز گزارش ارزی'!$AP$8:$AP$63,E51)</f>
        <v>0</v>
      </c>
      <c r="H51" s="146">
        <f>SUMIFS('ریز گزارش ارزی'!$AD$8:$AD$63,'ریز گزارش ارزی'!$AD$8:$AD$63,"&gt;0",'ریز گزارش ارزی'!$AG$8:$AG$63,"قرض",'ریز گزارش ارزی'!$H$8:$H$63,F51,'ریز گزارش ارزی'!$F$8:$F$63,B51,'ریز گزارش ارزی'!$G$8:$G$63,C51,'ریز گزارش ارزی'!$AO$8:$AO$63,D51,'ریز گزارش ارزی'!$AP$8:$AP$63,E51)</f>
        <v>0</v>
      </c>
      <c r="I51" s="146">
        <f>SUMIFS('ریز گزارش ارزی'!$AC$8:$AC$63,'ریز گزارش ارزی'!$AC$8:$AC$63,"&gt;0",'ریز گزارش ارزی'!$AG$8:$AG$63,"عودت قرض",'ریز گزارش ارزی'!$H$8:$H$63,F51,'ریز گزارش ارزی'!$F$8:$F$63,B51,'ریز گزارش ارزی'!$G$8:$G$63,C51,'ریز گزارش ارزی'!$AO$8:$AO$63,D51,'ریز گزارش ارزی'!$AP$8:$AP$63,E51)</f>
        <v>0</v>
      </c>
      <c r="J51" s="146">
        <f>SUMIFS('ریز گزارش ارزی'!$AD$8:$AD$63,'ریز گزارش ارزی'!$AD$8:$AD$63,"&gt;0",'ریز گزارش ارزی'!$AG$8:$AG$63,"عودت قرض",'ریز گزارش ارزی'!$H$8:$H$63,F51,'ریز گزارش ارزی'!$F$8:$F$63,B51,'ریز گزارش ارزی'!$G$8:$G$63,C51,'ریز گزارش ارزی'!$AO$8:$AO$63,D51,'ریز گزارش ارزی'!$AP$8:$AP$63,E51)</f>
        <v>0</v>
      </c>
      <c r="K51" s="63">
        <f t="shared" si="24"/>
        <v>0</v>
      </c>
      <c r="L51" s="63">
        <f t="shared" si="19"/>
        <v>0</v>
      </c>
      <c r="M51" s="64">
        <f t="shared" si="25"/>
        <v>0</v>
      </c>
      <c r="N51" s="65" t="str">
        <f t="shared" si="21"/>
        <v>بی‌حساب</v>
      </c>
    </row>
    <row r="52" spans="2:14" ht="17.25" customHeight="1">
      <c r="B52" s="67" t="s">
        <v>148</v>
      </c>
      <c r="C52" s="58" t="s">
        <v>6</v>
      </c>
      <c r="D52" s="144" t="s">
        <v>9</v>
      </c>
      <c r="E52" s="145" t="s">
        <v>156</v>
      </c>
      <c r="F52" s="145" t="s">
        <v>37</v>
      </c>
      <c r="G52" s="146">
        <f>SUMIFS('ریز گزارش ارزی'!$AC$8:$AC$63,'ریز گزارش ارزی'!$AC$8:$AC$63,"&gt;0",'ریز گزارش ارزی'!$AG$8:$AG$63,"قرض",'ریز گزارش ارزی'!$H$8:$H$63,F52,'ریز گزارش ارزی'!$F$8:$F$63,B52,'ریز گزارش ارزی'!$G$8:$G$63,C52,'ریز گزارش ارزی'!$AO$8:$AO$63,D52,'ریز گزارش ارزی'!$AP$8:$AP$63,E52)</f>
        <v>0</v>
      </c>
      <c r="H52" s="146">
        <f>SUMIFS('ریز گزارش ارزی'!$AD$8:$AD$63,'ریز گزارش ارزی'!$AD$8:$AD$63,"&gt;0",'ریز گزارش ارزی'!$AG$8:$AG$63,"قرض",'ریز گزارش ارزی'!$H$8:$H$63,F52,'ریز گزارش ارزی'!$F$8:$F$63,B52,'ریز گزارش ارزی'!$G$8:$G$63,C52,'ریز گزارش ارزی'!$AO$8:$AO$63,D52,'ریز گزارش ارزی'!$AP$8:$AP$63,E52)</f>
        <v>0</v>
      </c>
      <c r="I52" s="146">
        <f>SUMIFS('ریز گزارش ارزی'!$AC$8:$AC$63,'ریز گزارش ارزی'!$AC$8:$AC$63,"&gt;0",'ریز گزارش ارزی'!$AG$8:$AG$63,"عودت قرض",'ریز گزارش ارزی'!$H$8:$H$63,F52,'ریز گزارش ارزی'!$F$8:$F$63,B52,'ریز گزارش ارزی'!$G$8:$G$63,C52,'ریز گزارش ارزی'!$AO$8:$AO$63,D52,'ریز گزارش ارزی'!$AP$8:$AP$63,E52)</f>
        <v>0</v>
      </c>
      <c r="J52" s="146">
        <f>SUMIFS('ریز گزارش ارزی'!$AD$8:$AD$63,'ریز گزارش ارزی'!$AD$8:$AD$63,"&gt;0",'ریز گزارش ارزی'!$AG$8:$AG$63,"عودت قرض",'ریز گزارش ارزی'!$H$8:$H$63,F52,'ریز گزارش ارزی'!$F$8:$F$63,B52,'ریز گزارش ارزی'!$G$8:$G$63,C52,'ریز گزارش ارزی'!$AO$8:$AO$63,D52,'ریز گزارش ارزی'!$AP$8:$AP$63,E52)</f>
        <v>0</v>
      </c>
      <c r="K52" s="63">
        <f t="shared" si="24"/>
        <v>0</v>
      </c>
      <c r="L52" s="63">
        <f t="shared" si="19"/>
        <v>0</v>
      </c>
      <c r="M52" s="64">
        <f t="shared" si="25"/>
        <v>0</v>
      </c>
      <c r="N52" s="65" t="str">
        <f t="shared" si="21"/>
        <v>بی‌حساب</v>
      </c>
    </row>
    <row r="53" spans="2:14" ht="17.25" customHeight="1">
      <c r="B53" s="67" t="s">
        <v>148</v>
      </c>
      <c r="C53" s="58" t="s">
        <v>6</v>
      </c>
      <c r="D53" s="144" t="s">
        <v>14</v>
      </c>
      <c r="E53" s="145" t="s">
        <v>156</v>
      </c>
      <c r="F53" s="145" t="s">
        <v>37</v>
      </c>
      <c r="G53" s="146">
        <f>SUMIFS('ریز گزارش ارزی'!$AC$8:$AC$63,'ریز گزارش ارزی'!$AC$8:$AC$63,"&gt;0",'ریز گزارش ارزی'!$AG$8:$AG$63,"قرض",'ریز گزارش ارزی'!$H$8:$H$63,F53,'ریز گزارش ارزی'!$F$8:$F$63,B53,'ریز گزارش ارزی'!$G$8:$G$63,C53,'ریز گزارش ارزی'!$AO$8:$AO$63,D53,'ریز گزارش ارزی'!$AP$8:$AP$63,E53)</f>
        <v>0</v>
      </c>
      <c r="H53" s="146">
        <f>SUMIFS('ریز گزارش ارزی'!$AD$8:$AD$63,'ریز گزارش ارزی'!$AD$8:$AD$63,"&gt;0",'ریز گزارش ارزی'!$AG$8:$AG$63,"قرض",'ریز گزارش ارزی'!$H$8:$H$63,F53,'ریز گزارش ارزی'!$F$8:$F$63,B53,'ریز گزارش ارزی'!$G$8:$G$63,C53,'ریز گزارش ارزی'!$AO$8:$AO$63,D53,'ریز گزارش ارزی'!$AP$8:$AP$63,E53)</f>
        <v>0</v>
      </c>
      <c r="I53" s="146">
        <f>SUMIFS('ریز گزارش ارزی'!$AC$8:$AC$63,'ریز گزارش ارزی'!$AC$8:$AC$63,"&gt;0",'ریز گزارش ارزی'!$AG$8:$AG$63,"عودت قرض",'ریز گزارش ارزی'!$H$8:$H$63,F53,'ریز گزارش ارزی'!$F$8:$F$63,B53,'ریز گزارش ارزی'!$G$8:$G$63,C53,'ریز گزارش ارزی'!$AO$8:$AO$63,D53,'ریز گزارش ارزی'!$AP$8:$AP$63,E53)</f>
        <v>0</v>
      </c>
      <c r="J53" s="146">
        <f>SUMIFS('ریز گزارش ارزی'!$AD$8:$AD$63,'ریز گزارش ارزی'!$AD$8:$AD$63,"&gt;0",'ریز گزارش ارزی'!$AG$8:$AG$63,"عودت قرض",'ریز گزارش ارزی'!$H$8:$H$63,F53,'ریز گزارش ارزی'!$F$8:$F$63,B53,'ریز گزارش ارزی'!$G$8:$G$63,C53,'ریز گزارش ارزی'!$AO$8:$AO$63,D53,'ریز گزارش ارزی'!$AP$8:$AP$63,E53)</f>
        <v>0</v>
      </c>
      <c r="K53" s="63">
        <f t="shared" si="24"/>
        <v>0</v>
      </c>
      <c r="L53" s="63">
        <f t="shared" si="19"/>
        <v>0</v>
      </c>
      <c r="M53" s="64">
        <f t="shared" si="25"/>
        <v>0</v>
      </c>
      <c r="N53" s="65" t="str">
        <f t="shared" si="21"/>
        <v>بی‌حساب</v>
      </c>
    </row>
    <row r="54" spans="2:14" ht="17.25" customHeight="1">
      <c r="B54" s="67" t="s">
        <v>148</v>
      </c>
      <c r="C54" s="58" t="s">
        <v>6</v>
      </c>
      <c r="D54" s="144" t="s">
        <v>5</v>
      </c>
      <c r="E54" s="145" t="s">
        <v>156</v>
      </c>
      <c r="F54" s="145" t="s">
        <v>37</v>
      </c>
      <c r="G54" s="146">
        <f>SUMIFS('ریز گزارش ارزی'!$AC$8:$AC$63,'ریز گزارش ارزی'!$AC$8:$AC$63,"&gt;0",'ریز گزارش ارزی'!$AG$8:$AG$63,"قرض",'ریز گزارش ارزی'!$H$8:$H$63,F54,'ریز گزارش ارزی'!$F$8:$F$63,B54,'ریز گزارش ارزی'!$G$8:$G$63,C54,'ریز گزارش ارزی'!$AO$8:$AO$63,D54,'ریز گزارش ارزی'!$AP$8:$AP$63,E54)</f>
        <v>0</v>
      </c>
      <c r="H54" s="146">
        <f>SUMIFS('ریز گزارش ارزی'!$AD$8:$AD$63,'ریز گزارش ارزی'!$AD$8:$AD$63,"&gt;0",'ریز گزارش ارزی'!$AG$8:$AG$63,"قرض",'ریز گزارش ارزی'!$H$8:$H$63,F54,'ریز گزارش ارزی'!$F$8:$F$63,B54,'ریز گزارش ارزی'!$G$8:$G$63,C54,'ریز گزارش ارزی'!$AO$8:$AO$63,D54,'ریز گزارش ارزی'!$AP$8:$AP$63,E54)</f>
        <v>0</v>
      </c>
      <c r="I54" s="146">
        <f>SUMIFS('ریز گزارش ارزی'!$AC$8:$AC$63,'ریز گزارش ارزی'!$AC$8:$AC$63,"&gt;0",'ریز گزارش ارزی'!$AG$8:$AG$63,"عودت قرض",'ریز گزارش ارزی'!$H$8:$H$63,F54,'ریز گزارش ارزی'!$F$8:$F$63,B54,'ریز گزارش ارزی'!$G$8:$G$63,C54,'ریز گزارش ارزی'!$AO$8:$AO$63,D54,'ریز گزارش ارزی'!$AP$8:$AP$63,E54)</f>
        <v>0</v>
      </c>
      <c r="J54" s="146">
        <f>SUMIFS('ریز گزارش ارزی'!$AD$8:$AD$63,'ریز گزارش ارزی'!$AD$8:$AD$63,"&gt;0",'ریز گزارش ارزی'!$AG$8:$AG$63,"عودت قرض",'ریز گزارش ارزی'!$H$8:$H$63,F54,'ریز گزارش ارزی'!$F$8:$F$63,B54,'ریز گزارش ارزی'!$G$8:$G$63,C54,'ریز گزارش ارزی'!$AO$8:$AO$63,D54,'ریز گزارش ارزی'!$AP$8:$AP$63,E54)</f>
        <v>0</v>
      </c>
      <c r="K54" s="63">
        <f t="shared" si="24"/>
        <v>0</v>
      </c>
      <c r="L54" s="63">
        <f t="shared" si="19"/>
        <v>0</v>
      </c>
      <c r="M54" s="64">
        <f t="shared" si="25"/>
        <v>0</v>
      </c>
      <c r="N54" s="65" t="str">
        <f t="shared" si="21"/>
        <v>بی‌حساب</v>
      </c>
    </row>
    <row r="55" spans="2:14" ht="17.25" customHeight="1">
      <c r="B55" s="67" t="s">
        <v>148</v>
      </c>
      <c r="C55" s="57" t="s">
        <v>0</v>
      </c>
      <c r="D55" s="55" t="s">
        <v>6</v>
      </c>
      <c r="E55" s="56" t="s">
        <v>156</v>
      </c>
      <c r="F55" s="56" t="s">
        <v>37</v>
      </c>
      <c r="G55" s="62">
        <f>SUMIFS('ریز گزارش ارزی'!$AC$8:$AC$63,'ریز گزارش ارزی'!$AC$8:$AC$63,"&gt;0",'ریز گزارش ارزی'!$AG$8:$AG$63,"قرض",'ریز گزارش ارزی'!$H$8:$H$63,F55,'ریز گزارش ارزی'!$F$8:$F$63,B55,'ریز گزارش ارزی'!$G$8:$G$63,C55,'ریز گزارش ارزی'!$AO$8:$AO$63,D55,'ریز گزارش ارزی'!$AP$8:$AP$63,E55)</f>
        <v>0</v>
      </c>
      <c r="H55" s="62">
        <f>SUMIFS('ریز گزارش ارزی'!$AD$8:$AD$63,'ریز گزارش ارزی'!$AD$8:$AD$63,"&gt;0",'ریز گزارش ارزی'!$AG$8:$AG$63,"قرض",'ریز گزارش ارزی'!$H$8:$H$63,F55,'ریز گزارش ارزی'!$F$8:$F$63,B55,'ریز گزارش ارزی'!$G$8:$G$63,C55,'ریز گزارش ارزی'!$AO$8:$AO$63,D55,'ریز گزارش ارزی'!$AP$8:$AP$63,E55)</f>
        <v>0</v>
      </c>
      <c r="I55" s="62">
        <f>SUMIFS('ریز گزارش ارزی'!$AC$8:$AC$63,'ریز گزارش ارزی'!$AC$8:$AC$63,"&gt;0",'ریز گزارش ارزی'!$AG$8:$AG$63,"عودت قرض",'ریز گزارش ارزی'!$H$8:$H$63,F55,'ریز گزارش ارزی'!$F$8:$F$63,B55,'ریز گزارش ارزی'!$G$8:$G$63,C55,'ریز گزارش ارزی'!$AO$8:$AO$63,D55,'ریز گزارش ارزی'!$AP$8:$AP$63,E55)</f>
        <v>0</v>
      </c>
      <c r="J55" s="62">
        <f>SUMIFS('ریز گزارش ارزی'!$AD$8:$AD$63,'ریز گزارش ارزی'!$AD$8:$AD$63,"&gt;0",'ریز گزارش ارزی'!$AG$8:$AG$63,"عودت قرض",'ریز گزارش ارزی'!$H$8:$H$63,F55,'ریز گزارش ارزی'!$F$8:$F$63,B55,'ریز گزارش ارزی'!$G$8:$G$63,C55,'ریز گزارش ارزی'!$AO$8:$AO$63,D55,'ریز گزارش ارزی'!$AP$8:$AP$63,E55)</f>
        <v>0</v>
      </c>
      <c r="K55" s="63">
        <f t="shared" si="24"/>
        <v>0</v>
      </c>
      <c r="L55" s="63">
        <f t="shared" si="19"/>
        <v>0</v>
      </c>
      <c r="M55" s="64">
        <f t="shared" si="25"/>
        <v>0</v>
      </c>
      <c r="N55" s="65" t="str">
        <f t="shared" si="21"/>
        <v>بی‌حساب</v>
      </c>
    </row>
    <row r="56" spans="2:14" ht="17.25" customHeight="1">
      <c r="B56" s="67" t="s">
        <v>148</v>
      </c>
      <c r="C56" s="57" t="s">
        <v>0</v>
      </c>
      <c r="D56" s="55" t="s">
        <v>0</v>
      </c>
      <c r="E56" s="56" t="s">
        <v>156</v>
      </c>
      <c r="F56" s="56" t="s">
        <v>37</v>
      </c>
      <c r="G56" s="62">
        <f>SUMIFS('ریز گزارش ارزی'!$AC$8:$AC$63,'ریز گزارش ارزی'!$AC$8:$AC$63,"&gt;0",'ریز گزارش ارزی'!$AG$8:$AG$63,"قرض",'ریز گزارش ارزی'!$H$8:$H$63,F56,'ریز گزارش ارزی'!$F$8:$F$63,B56,'ریز گزارش ارزی'!$G$8:$G$63,C56,'ریز گزارش ارزی'!$AO$8:$AO$63,D56,'ریز گزارش ارزی'!$AP$8:$AP$63,E56)</f>
        <v>0</v>
      </c>
      <c r="H56" s="62">
        <f>SUMIFS('ریز گزارش ارزی'!$AD$8:$AD$63,'ریز گزارش ارزی'!$AD$8:$AD$63,"&gt;0",'ریز گزارش ارزی'!$AG$8:$AG$63,"قرض",'ریز گزارش ارزی'!$H$8:$H$63,F56,'ریز گزارش ارزی'!$F$8:$F$63,B56,'ریز گزارش ارزی'!$G$8:$G$63,C56,'ریز گزارش ارزی'!$AO$8:$AO$63,D56,'ریز گزارش ارزی'!$AP$8:$AP$63,E56)</f>
        <v>0</v>
      </c>
      <c r="I56" s="62">
        <f>SUMIFS('ریز گزارش ارزی'!$AC$8:$AC$63,'ریز گزارش ارزی'!$AC$8:$AC$63,"&gt;0",'ریز گزارش ارزی'!$AG$8:$AG$63,"عودت قرض",'ریز گزارش ارزی'!$H$8:$H$63,F56,'ریز گزارش ارزی'!$F$8:$F$63,B56,'ریز گزارش ارزی'!$G$8:$G$63,C56,'ریز گزارش ارزی'!$AO$8:$AO$63,D56,'ریز گزارش ارزی'!$AP$8:$AP$63,E56)</f>
        <v>0</v>
      </c>
      <c r="J56" s="62">
        <f>SUMIFS('ریز گزارش ارزی'!$AD$8:$AD$63,'ریز گزارش ارزی'!$AD$8:$AD$63,"&gt;0",'ریز گزارش ارزی'!$AG$8:$AG$63,"عودت قرض",'ریز گزارش ارزی'!$H$8:$H$63,F56,'ریز گزارش ارزی'!$F$8:$F$63,B56,'ریز گزارش ارزی'!$G$8:$G$63,C56,'ریز گزارش ارزی'!$AO$8:$AO$63,D56,'ریز گزارش ارزی'!$AP$8:$AP$63,E56)</f>
        <v>0</v>
      </c>
      <c r="K56" s="63">
        <f t="shared" ref="K56" si="26">H56-I56</f>
        <v>0</v>
      </c>
      <c r="L56" s="63">
        <f t="shared" ref="L56" si="27">G56-J56</f>
        <v>0</v>
      </c>
      <c r="M56" s="64">
        <f t="shared" ref="M56" si="28">K56-L56</f>
        <v>0</v>
      </c>
      <c r="N56" s="65" t="str">
        <f t="shared" ref="N56" si="29">IF(M56=0,"بی‌حساب",IF(M56&gt;0,"طلبکار","بدهکار"))</f>
        <v>بی‌حساب</v>
      </c>
    </row>
    <row r="57" spans="2:14" ht="17.25" customHeight="1">
      <c r="B57" s="67" t="s">
        <v>148</v>
      </c>
      <c r="C57" s="57" t="s">
        <v>0</v>
      </c>
      <c r="D57" s="55" t="s">
        <v>1</v>
      </c>
      <c r="E57" s="56" t="s">
        <v>156</v>
      </c>
      <c r="F57" s="56" t="s">
        <v>37</v>
      </c>
      <c r="G57" s="62">
        <f>SUMIFS('ریز گزارش ارزی'!$AC$8:$AC$63,'ریز گزارش ارزی'!$AC$8:$AC$63,"&gt;0",'ریز گزارش ارزی'!$AG$8:$AG$63,"قرض",'ریز گزارش ارزی'!$H$8:$H$63,F57,'ریز گزارش ارزی'!$F$8:$F$63,B57,'ریز گزارش ارزی'!$G$8:$G$63,C57,'ریز گزارش ارزی'!$AO$8:$AO$63,D57,'ریز گزارش ارزی'!$AP$8:$AP$63,E57)</f>
        <v>0</v>
      </c>
      <c r="H57" s="62">
        <f>SUMIFS('ریز گزارش ارزی'!$AD$8:$AD$63,'ریز گزارش ارزی'!$AD$8:$AD$63,"&gt;0",'ریز گزارش ارزی'!$AG$8:$AG$63,"قرض",'ریز گزارش ارزی'!$H$8:$H$63,F57,'ریز گزارش ارزی'!$F$8:$F$63,B57,'ریز گزارش ارزی'!$G$8:$G$63,C57,'ریز گزارش ارزی'!$AO$8:$AO$63,D57,'ریز گزارش ارزی'!$AP$8:$AP$63,E57)</f>
        <v>0</v>
      </c>
      <c r="I57" s="62">
        <f>SUMIFS('ریز گزارش ارزی'!$AC$8:$AC$63,'ریز گزارش ارزی'!$AC$8:$AC$63,"&gt;0",'ریز گزارش ارزی'!$AG$8:$AG$63,"عودت قرض",'ریز گزارش ارزی'!$H$8:$H$63,F57,'ریز گزارش ارزی'!$F$8:$F$63,B57,'ریز گزارش ارزی'!$G$8:$G$63,C57,'ریز گزارش ارزی'!$AO$8:$AO$63,D57,'ریز گزارش ارزی'!$AP$8:$AP$63,E57)</f>
        <v>0</v>
      </c>
      <c r="J57" s="62">
        <f>SUMIFS('ریز گزارش ارزی'!$AD$8:$AD$63,'ریز گزارش ارزی'!$AD$8:$AD$63,"&gt;0",'ریز گزارش ارزی'!$AG$8:$AG$63,"عودت قرض",'ریز گزارش ارزی'!$H$8:$H$63,F57,'ریز گزارش ارزی'!$F$8:$F$63,B57,'ریز گزارش ارزی'!$G$8:$G$63,C57,'ریز گزارش ارزی'!$AO$8:$AO$63,D57,'ریز گزارش ارزی'!$AP$8:$AP$63,E57)</f>
        <v>0</v>
      </c>
      <c r="K57" s="63">
        <f t="shared" si="24"/>
        <v>0</v>
      </c>
      <c r="L57" s="63">
        <f t="shared" si="19"/>
        <v>0</v>
      </c>
      <c r="M57" s="64">
        <f t="shared" si="25"/>
        <v>0</v>
      </c>
      <c r="N57" s="65" t="str">
        <f t="shared" si="21"/>
        <v>بی‌حساب</v>
      </c>
    </row>
    <row r="58" spans="2:14" ht="17.25" customHeight="1">
      <c r="B58" s="67" t="s">
        <v>148</v>
      </c>
      <c r="C58" s="57" t="s">
        <v>0</v>
      </c>
      <c r="D58" s="55" t="s">
        <v>3</v>
      </c>
      <c r="E58" s="56" t="s">
        <v>156</v>
      </c>
      <c r="F58" s="56" t="s">
        <v>37</v>
      </c>
      <c r="G58" s="62">
        <f>SUMIFS('ریز گزارش ارزی'!$AC$8:$AC$63,'ریز گزارش ارزی'!$AC$8:$AC$63,"&gt;0",'ریز گزارش ارزی'!$AG$8:$AG$63,"قرض",'ریز گزارش ارزی'!$H$8:$H$63,F58,'ریز گزارش ارزی'!$F$8:$F$63,B58,'ریز گزارش ارزی'!$G$8:$G$63,C58,'ریز گزارش ارزی'!$AO$8:$AO$63,D58,'ریز گزارش ارزی'!$AP$8:$AP$63,E58)</f>
        <v>0</v>
      </c>
      <c r="H58" s="62">
        <f>SUMIFS('ریز گزارش ارزی'!$AD$8:$AD$63,'ریز گزارش ارزی'!$AD$8:$AD$63,"&gt;0",'ریز گزارش ارزی'!$AG$8:$AG$63,"قرض",'ریز گزارش ارزی'!$H$8:$H$63,F58,'ریز گزارش ارزی'!$F$8:$F$63,B58,'ریز گزارش ارزی'!$G$8:$G$63,C58,'ریز گزارش ارزی'!$AO$8:$AO$63,D58,'ریز گزارش ارزی'!$AP$8:$AP$63,E58)</f>
        <v>0</v>
      </c>
      <c r="I58" s="62">
        <f>SUMIFS('ریز گزارش ارزی'!$AC$8:$AC$63,'ریز گزارش ارزی'!$AC$8:$AC$63,"&gt;0",'ریز گزارش ارزی'!$AG$8:$AG$63,"عودت قرض",'ریز گزارش ارزی'!$H$8:$H$63,F58,'ریز گزارش ارزی'!$F$8:$F$63,B58,'ریز گزارش ارزی'!$G$8:$G$63,C58,'ریز گزارش ارزی'!$AO$8:$AO$63,D58,'ریز گزارش ارزی'!$AP$8:$AP$63,E58)</f>
        <v>0</v>
      </c>
      <c r="J58" s="62">
        <f>SUMIFS('ریز گزارش ارزی'!$AD$8:$AD$63,'ریز گزارش ارزی'!$AD$8:$AD$63,"&gt;0",'ریز گزارش ارزی'!$AG$8:$AG$63,"عودت قرض",'ریز گزارش ارزی'!$H$8:$H$63,F58,'ریز گزارش ارزی'!$F$8:$F$63,B58,'ریز گزارش ارزی'!$G$8:$G$63,C58,'ریز گزارش ارزی'!$AO$8:$AO$63,D58,'ریز گزارش ارزی'!$AP$8:$AP$63,E58)</f>
        <v>0</v>
      </c>
      <c r="K58" s="63">
        <f t="shared" si="24"/>
        <v>0</v>
      </c>
      <c r="L58" s="63">
        <f t="shared" si="19"/>
        <v>0</v>
      </c>
      <c r="M58" s="64">
        <f t="shared" si="25"/>
        <v>0</v>
      </c>
      <c r="N58" s="65" t="str">
        <f t="shared" si="21"/>
        <v>بی‌حساب</v>
      </c>
    </row>
    <row r="59" spans="2:14" ht="17.25" customHeight="1">
      <c r="B59" s="67" t="s">
        <v>148</v>
      </c>
      <c r="C59" s="57" t="s">
        <v>0</v>
      </c>
      <c r="D59" s="55" t="s">
        <v>9</v>
      </c>
      <c r="E59" s="56" t="s">
        <v>156</v>
      </c>
      <c r="F59" s="56" t="s">
        <v>37</v>
      </c>
      <c r="G59" s="62">
        <f>SUMIFS('ریز گزارش ارزی'!$AC$8:$AC$63,'ریز گزارش ارزی'!$AC$8:$AC$63,"&gt;0",'ریز گزارش ارزی'!$AG$8:$AG$63,"قرض",'ریز گزارش ارزی'!$H$8:$H$63,F59,'ریز گزارش ارزی'!$F$8:$F$63,B59,'ریز گزارش ارزی'!$G$8:$G$63,C59,'ریز گزارش ارزی'!$AO$8:$AO$63,D59,'ریز گزارش ارزی'!$AP$8:$AP$63,E59)</f>
        <v>0</v>
      </c>
      <c r="H59" s="62">
        <f>SUMIFS('ریز گزارش ارزی'!$AD$8:$AD$63,'ریز گزارش ارزی'!$AD$8:$AD$63,"&gt;0",'ریز گزارش ارزی'!$AG$8:$AG$63,"قرض",'ریز گزارش ارزی'!$H$8:$H$63,F59,'ریز گزارش ارزی'!$F$8:$F$63,B59,'ریز گزارش ارزی'!$G$8:$G$63,C59,'ریز گزارش ارزی'!$AO$8:$AO$63,D59,'ریز گزارش ارزی'!$AP$8:$AP$63,E59)</f>
        <v>0</v>
      </c>
      <c r="I59" s="62">
        <f>SUMIFS('ریز گزارش ارزی'!$AC$8:$AC$63,'ریز گزارش ارزی'!$AC$8:$AC$63,"&gt;0",'ریز گزارش ارزی'!$AG$8:$AG$63,"عودت قرض",'ریز گزارش ارزی'!$H$8:$H$63,F59,'ریز گزارش ارزی'!$F$8:$F$63,B59,'ریز گزارش ارزی'!$G$8:$G$63,C59,'ریز گزارش ارزی'!$AO$8:$AO$63,D59,'ریز گزارش ارزی'!$AP$8:$AP$63,E59)</f>
        <v>0</v>
      </c>
      <c r="J59" s="62">
        <f>SUMIFS('ریز گزارش ارزی'!$AD$8:$AD$63,'ریز گزارش ارزی'!$AD$8:$AD$63,"&gt;0",'ریز گزارش ارزی'!$AG$8:$AG$63,"عودت قرض",'ریز گزارش ارزی'!$H$8:$H$63,F59,'ریز گزارش ارزی'!$F$8:$F$63,B59,'ریز گزارش ارزی'!$G$8:$G$63,C59,'ریز گزارش ارزی'!$AO$8:$AO$63,D59,'ریز گزارش ارزی'!$AP$8:$AP$63,E59)</f>
        <v>0</v>
      </c>
      <c r="K59" s="63">
        <f t="shared" si="24"/>
        <v>0</v>
      </c>
      <c r="L59" s="63">
        <f t="shared" si="19"/>
        <v>0</v>
      </c>
      <c r="M59" s="64">
        <f t="shared" si="25"/>
        <v>0</v>
      </c>
      <c r="N59" s="65" t="str">
        <f t="shared" si="21"/>
        <v>بی‌حساب</v>
      </c>
    </row>
    <row r="60" spans="2:14" ht="17.25" customHeight="1">
      <c r="B60" s="67" t="s">
        <v>148</v>
      </c>
      <c r="C60" s="57" t="s">
        <v>0</v>
      </c>
      <c r="D60" s="55" t="s">
        <v>14</v>
      </c>
      <c r="E60" s="56" t="s">
        <v>156</v>
      </c>
      <c r="F60" s="56" t="s">
        <v>37</v>
      </c>
      <c r="G60" s="62">
        <f>SUMIFS('ریز گزارش ارزی'!$AC$8:$AC$63,'ریز گزارش ارزی'!$AC$8:$AC$63,"&gt;0",'ریز گزارش ارزی'!$AG$8:$AG$63,"قرض",'ریز گزارش ارزی'!$H$8:$H$63,F60,'ریز گزارش ارزی'!$F$8:$F$63,B60,'ریز گزارش ارزی'!$G$8:$G$63,C60,'ریز گزارش ارزی'!$AO$8:$AO$63,D60,'ریز گزارش ارزی'!$AP$8:$AP$63,E60)</f>
        <v>0</v>
      </c>
      <c r="H60" s="62">
        <f>SUMIFS('ریز گزارش ارزی'!$AD$8:$AD$63,'ریز گزارش ارزی'!$AD$8:$AD$63,"&gt;0",'ریز گزارش ارزی'!$AG$8:$AG$63,"قرض",'ریز گزارش ارزی'!$H$8:$H$63,F60,'ریز گزارش ارزی'!$F$8:$F$63,B60,'ریز گزارش ارزی'!$G$8:$G$63,C60,'ریز گزارش ارزی'!$AO$8:$AO$63,D60,'ریز گزارش ارزی'!$AP$8:$AP$63,E60)</f>
        <v>0</v>
      </c>
      <c r="I60" s="62">
        <f>SUMIFS('ریز گزارش ارزی'!$AC$8:$AC$63,'ریز گزارش ارزی'!$AC$8:$AC$63,"&gt;0",'ریز گزارش ارزی'!$AG$8:$AG$63,"عودت قرض",'ریز گزارش ارزی'!$H$8:$H$63,F60,'ریز گزارش ارزی'!$F$8:$F$63,B60,'ریز گزارش ارزی'!$G$8:$G$63,C60,'ریز گزارش ارزی'!$AO$8:$AO$63,D60,'ریز گزارش ارزی'!$AP$8:$AP$63,E60)</f>
        <v>0</v>
      </c>
      <c r="J60" s="62">
        <f>SUMIFS('ریز گزارش ارزی'!$AD$8:$AD$63,'ریز گزارش ارزی'!$AD$8:$AD$63,"&gt;0",'ریز گزارش ارزی'!$AG$8:$AG$63,"عودت قرض",'ریز گزارش ارزی'!$H$8:$H$63,F60,'ریز گزارش ارزی'!$F$8:$F$63,B60,'ریز گزارش ارزی'!$G$8:$G$63,C60,'ریز گزارش ارزی'!$AO$8:$AO$63,D60,'ریز گزارش ارزی'!$AP$8:$AP$63,E60)</f>
        <v>0</v>
      </c>
      <c r="K60" s="63">
        <f t="shared" si="24"/>
        <v>0</v>
      </c>
      <c r="L60" s="63">
        <f t="shared" si="19"/>
        <v>0</v>
      </c>
      <c r="M60" s="64">
        <f t="shared" si="25"/>
        <v>0</v>
      </c>
      <c r="N60" s="65" t="str">
        <f t="shared" si="21"/>
        <v>بی‌حساب</v>
      </c>
    </row>
    <row r="61" spans="2:14" ht="17.25" customHeight="1">
      <c r="B61" s="67" t="s">
        <v>148</v>
      </c>
      <c r="C61" s="57" t="s">
        <v>0</v>
      </c>
      <c r="D61" s="55" t="s">
        <v>5</v>
      </c>
      <c r="E61" s="56" t="s">
        <v>156</v>
      </c>
      <c r="F61" s="56" t="s">
        <v>37</v>
      </c>
      <c r="G61" s="62">
        <f>SUMIFS('ریز گزارش ارزی'!$AC$8:$AC$63,'ریز گزارش ارزی'!$AC$8:$AC$63,"&gt;0",'ریز گزارش ارزی'!$AG$8:$AG$63,"قرض",'ریز گزارش ارزی'!$H$8:$H$63,F61,'ریز گزارش ارزی'!$F$8:$F$63,B61,'ریز گزارش ارزی'!$G$8:$G$63,C61,'ریز گزارش ارزی'!$AO$8:$AO$63,D61,'ریز گزارش ارزی'!$AP$8:$AP$63,E61)</f>
        <v>0</v>
      </c>
      <c r="H61" s="62">
        <f>SUMIFS('ریز گزارش ارزی'!$AD$8:$AD$63,'ریز گزارش ارزی'!$AD$8:$AD$63,"&gt;0",'ریز گزارش ارزی'!$AG$8:$AG$63,"قرض",'ریز گزارش ارزی'!$H$8:$H$63,F61,'ریز گزارش ارزی'!$F$8:$F$63,B61,'ریز گزارش ارزی'!$G$8:$G$63,C61,'ریز گزارش ارزی'!$AO$8:$AO$63,D61,'ریز گزارش ارزی'!$AP$8:$AP$63,E61)</f>
        <v>0</v>
      </c>
      <c r="I61" s="62">
        <f>SUMIFS('ریز گزارش ارزی'!$AC$8:$AC$63,'ریز گزارش ارزی'!$AC$8:$AC$63,"&gt;0",'ریز گزارش ارزی'!$AG$8:$AG$63,"عودت قرض",'ریز گزارش ارزی'!$H$8:$H$63,F61,'ریز گزارش ارزی'!$F$8:$F$63,B61,'ریز گزارش ارزی'!$G$8:$G$63,C61,'ریز گزارش ارزی'!$AO$8:$AO$63,D61,'ریز گزارش ارزی'!$AP$8:$AP$63,E61)</f>
        <v>0</v>
      </c>
      <c r="J61" s="62">
        <f>SUMIFS('ریز گزارش ارزی'!$AD$8:$AD$63,'ریز گزارش ارزی'!$AD$8:$AD$63,"&gt;0",'ریز گزارش ارزی'!$AG$8:$AG$63,"عودت قرض",'ریز گزارش ارزی'!$H$8:$H$63,F61,'ریز گزارش ارزی'!$F$8:$F$63,B61,'ریز گزارش ارزی'!$G$8:$G$63,C61,'ریز گزارش ارزی'!$AO$8:$AO$63,D61,'ریز گزارش ارزی'!$AP$8:$AP$63,E61)</f>
        <v>0</v>
      </c>
      <c r="K61" s="63">
        <f t="shared" si="24"/>
        <v>0</v>
      </c>
      <c r="L61" s="63">
        <f t="shared" si="19"/>
        <v>0</v>
      </c>
      <c r="M61" s="64">
        <f t="shared" si="25"/>
        <v>0</v>
      </c>
      <c r="N61" s="65" t="str">
        <f t="shared" si="21"/>
        <v>بی‌حساب</v>
      </c>
    </row>
    <row r="62" spans="2:14" ht="17.25" customHeight="1">
      <c r="B62" s="67" t="s">
        <v>148</v>
      </c>
      <c r="C62" s="54" t="s">
        <v>1</v>
      </c>
      <c r="D62" s="144" t="s">
        <v>6</v>
      </c>
      <c r="E62" s="145" t="s">
        <v>156</v>
      </c>
      <c r="F62" s="145" t="s">
        <v>37</v>
      </c>
      <c r="G62" s="146">
        <f>SUMIFS('ریز گزارش ارزی'!$AC$8:$AC$63,'ریز گزارش ارزی'!$AC$8:$AC$63,"&gt;0",'ریز گزارش ارزی'!$AG$8:$AG$63,"قرض",'ریز گزارش ارزی'!$H$8:$H$63,F62,'ریز گزارش ارزی'!$F$8:$F$63,B62,'ریز گزارش ارزی'!$G$8:$G$63,C62,'ریز گزارش ارزی'!$AO$8:$AO$63,D62,'ریز گزارش ارزی'!$AP$8:$AP$63,E62)</f>
        <v>0</v>
      </c>
      <c r="H62" s="146">
        <f>SUMIFS('ریز گزارش ارزی'!$AD$8:$AD$63,'ریز گزارش ارزی'!$AD$8:$AD$63,"&gt;0",'ریز گزارش ارزی'!$AG$8:$AG$63,"قرض",'ریز گزارش ارزی'!$H$8:$H$63,F62,'ریز گزارش ارزی'!$F$8:$F$63,B62,'ریز گزارش ارزی'!$G$8:$G$63,C62,'ریز گزارش ارزی'!$AO$8:$AO$63,D62,'ریز گزارش ارزی'!$AP$8:$AP$63,E62)</f>
        <v>0</v>
      </c>
      <c r="I62" s="146">
        <f>SUMIFS('ریز گزارش ارزی'!$AC$8:$AC$63,'ریز گزارش ارزی'!$AC$8:$AC$63,"&gt;0",'ریز گزارش ارزی'!$AG$8:$AG$63,"عودت قرض",'ریز گزارش ارزی'!$H$8:$H$63,F62,'ریز گزارش ارزی'!$F$8:$F$63,B62,'ریز گزارش ارزی'!$G$8:$G$63,C62,'ریز گزارش ارزی'!$AO$8:$AO$63,D62,'ریز گزارش ارزی'!$AP$8:$AP$63,E62)</f>
        <v>0</v>
      </c>
      <c r="J62" s="146">
        <f>SUMIFS('ریز گزارش ارزی'!$AD$8:$AD$63,'ریز گزارش ارزی'!$AD$8:$AD$63,"&gt;0",'ریز گزارش ارزی'!$AG$8:$AG$63,"عودت قرض",'ریز گزارش ارزی'!$H$8:$H$63,F62,'ریز گزارش ارزی'!$F$8:$F$63,B62,'ریز گزارش ارزی'!$G$8:$G$63,C62,'ریز گزارش ارزی'!$AO$8:$AO$63,D62,'ریز گزارش ارزی'!$AP$8:$AP$63,E62)</f>
        <v>0</v>
      </c>
      <c r="K62" s="63">
        <f t="shared" si="24"/>
        <v>0</v>
      </c>
      <c r="L62" s="63">
        <f t="shared" si="19"/>
        <v>0</v>
      </c>
      <c r="M62" s="64">
        <f t="shared" si="25"/>
        <v>0</v>
      </c>
      <c r="N62" s="65" t="str">
        <f t="shared" si="21"/>
        <v>بی‌حساب</v>
      </c>
    </row>
    <row r="63" spans="2:14" ht="17.25" customHeight="1">
      <c r="B63" s="67" t="s">
        <v>148</v>
      </c>
      <c r="C63" s="54" t="s">
        <v>1</v>
      </c>
      <c r="D63" s="144" t="s">
        <v>0</v>
      </c>
      <c r="E63" s="145" t="s">
        <v>156</v>
      </c>
      <c r="F63" s="145" t="s">
        <v>37</v>
      </c>
      <c r="G63" s="146">
        <f>SUMIFS('ریز گزارش ارزی'!$AC$8:$AC$63,'ریز گزارش ارزی'!$AC$8:$AC$63,"&gt;0",'ریز گزارش ارزی'!$AG$8:$AG$63,"قرض",'ریز گزارش ارزی'!$H$8:$H$63,F63,'ریز گزارش ارزی'!$F$8:$F$63,B63,'ریز گزارش ارزی'!$G$8:$G$63,C63,'ریز گزارش ارزی'!$AO$8:$AO$63,D63,'ریز گزارش ارزی'!$AP$8:$AP$63,E63)</f>
        <v>0</v>
      </c>
      <c r="H63" s="146">
        <f>SUMIFS('ریز گزارش ارزی'!$AD$8:$AD$63,'ریز گزارش ارزی'!$AD$8:$AD$63,"&gt;0",'ریز گزارش ارزی'!$AG$8:$AG$63,"قرض",'ریز گزارش ارزی'!$H$8:$H$63,F63,'ریز گزارش ارزی'!$F$8:$F$63,B63,'ریز گزارش ارزی'!$G$8:$G$63,C63,'ریز گزارش ارزی'!$AO$8:$AO$63,D63,'ریز گزارش ارزی'!$AP$8:$AP$63,E63)</f>
        <v>0</v>
      </c>
      <c r="I63" s="146">
        <f>SUMIFS('ریز گزارش ارزی'!$AC$8:$AC$63,'ریز گزارش ارزی'!$AC$8:$AC$63,"&gt;0",'ریز گزارش ارزی'!$AG$8:$AG$63,"عودت قرض",'ریز گزارش ارزی'!$H$8:$H$63,F63,'ریز گزارش ارزی'!$F$8:$F$63,B63,'ریز گزارش ارزی'!$G$8:$G$63,C63,'ریز گزارش ارزی'!$AO$8:$AO$63,D63,'ریز گزارش ارزی'!$AP$8:$AP$63,E63)</f>
        <v>0</v>
      </c>
      <c r="J63" s="146">
        <f>SUMIFS('ریز گزارش ارزی'!$AD$8:$AD$63,'ریز گزارش ارزی'!$AD$8:$AD$63,"&gt;0",'ریز گزارش ارزی'!$AG$8:$AG$63,"عودت قرض",'ریز گزارش ارزی'!$H$8:$H$63,F63,'ریز گزارش ارزی'!$F$8:$F$63,B63,'ریز گزارش ارزی'!$G$8:$G$63,C63,'ریز گزارش ارزی'!$AO$8:$AO$63,D63,'ریز گزارش ارزی'!$AP$8:$AP$63,E63)</f>
        <v>0</v>
      </c>
      <c r="K63" s="63">
        <f t="shared" si="24"/>
        <v>0</v>
      </c>
      <c r="L63" s="63">
        <f t="shared" si="19"/>
        <v>0</v>
      </c>
      <c r="M63" s="64">
        <f t="shared" si="25"/>
        <v>0</v>
      </c>
      <c r="N63" s="65" t="str">
        <f t="shared" si="21"/>
        <v>بی‌حساب</v>
      </c>
    </row>
    <row r="64" spans="2:14" ht="17.25" customHeight="1">
      <c r="B64" s="67" t="s">
        <v>148</v>
      </c>
      <c r="C64" s="54" t="s">
        <v>1</v>
      </c>
      <c r="D64" s="144" t="s">
        <v>1</v>
      </c>
      <c r="E64" s="145" t="s">
        <v>156</v>
      </c>
      <c r="F64" s="145" t="s">
        <v>37</v>
      </c>
      <c r="G64" s="146">
        <f>SUMIFS('ریز گزارش ارزی'!$AC$8:$AC$63,'ریز گزارش ارزی'!$AC$8:$AC$63,"&gt;0",'ریز گزارش ارزی'!$AG$8:$AG$63,"قرض",'ریز گزارش ارزی'!$H$8:$H$63,F64,'ریز گزارش ارزی'!$F$8:$F$63,B64,'ریز گزارش ارزی'!$G$8:$G$63,C64,'ریز گزارش ارزی'!$AO$8:$AO$63,D64,'ریز گزارش ارزی'!$AP$8:$AP$63,E64)</f>
        <v>0</v>
      </c>
      <c r="H64" s="146">
        <f>SUMIFS('ریز گزارش ارزی'!$AD$8:$AD$63,'ریز گزارش ارزی'!$AD$8:$AD$63,"&gt;0",'ریز گزارش ارزی'!$AG$8:$AG$63,"قرض",'ریز گزارش ارزی'!$H$8:$H$63,F64,'ریز گزارش ارزی'!$F$8:$F$63,B64,'ریز گزارش ارزی'!$G$8:$G$63,C64,'ریز گزارش ارزی'!$AO$8:$AO$63,D64,'ریز گزارش ارزی'!$AP$8:$AP$63,E64)</f>
        <v>0</v>
      </c>
      <c r="I64" s="146">
        <f>SUMIFS('ریز گزارش ارزی'!$AC$8:$AC$63,'ریز گزارش ارزی'!$AC$8:$AC$63,"&gt;0",'ریز گزارش ارزی'!$AG$8:$AG$63,"عودت قرض",'ریز گزارش ارزی'!$H$8:$H$63,F64,'ریز گزارش ارزی'!$F$8:$F$63,B64,'ریز گزارش ارزی'!$G$8:$G$63,C64,'ریز گزارش ارزی'!$AO$8:$AO$63,D64,'ریز گزارش ارزی'!$AP$8:$AP$63,E64)</f>
        <v>0</v>
      </c>
      <c r="J64" s="146">
        <f>SUMIFS('ریز گزارش ارزی'!$AD$8:$AD$63,'ریز گزارش ارزی'!$AD$8:$AD$63,"&gt;0",'ریز گزارش ارزی'!$AG$8:$AG$63,"عودت قرض",'ریز گزارش ارزی'!$H$8:$H$63,F64,'ریز گزارش ارزی'!$F$8:$F$63,B64,'ریز گزارش ارزی'!$G$8:$G$63,C64,'ریز گزارش ارزی'!$AO$8:$AO$63,D64,'ریز گزارش ارزی'!$AP$8:$AP$63,E64)</f>
        <v>0</v>
      </c>
      <c r="K64" s="63">
        <f t="shared" ref="K64" si="30">H64-I64</f>
        <v>0</v>
      </c>
      <c r="L64" s="63">
        <f t="shared" ref="L64" si="31">G64-J64</f>
        <v>0</v>
      </c>
      <c r="M64" s="64">
        <f t="shared" ref="M64" si="32">K64-L64</f>
        <v>0</v>
      </c>
      <c r="N64" s="65" t="str">
        <f t="shared" ref="N64" si="33">IF(M64=0,"بی‌حساب",IF(M64&gt;0,"طلبکار","بدهکار"))</f>
        <v>بی‌حساب</v>
      </c>
    </row>
    <row r="65" spans="2:14" ht="17.25" customHeight="1">
      <c r="B65" s="67" t="s">
        <v>148</v>
      </c>
      <c r="C65" s="54" t="s">
        <v>1</v>
      </c>
      <c r="D65" s="144" t="s">
        <v>3</v>
      </c>
      <c r="E65" s="145" t="s">
        <v>156</v>
      </c>
      <c r="F65" s="145" t="s">
        <v>37</v>
      </c>
      <c r="G65" s="146">
        <f>SUMIFS('ریز گزارش ارزی'!$AC$8:$AC$63,'ریز گزارش ارزی'!$AC$8:$AC$63,"&gt;0",'ریز گزارش ارزی'!$AG$8:$AG$63,"قرض",'ریز گزارش ارزی'!$H$8:$H$63,F65,'ریز گزارش ارزی'!$F$8:$F$63,B65,'ریز گزارش ارزی'!$G$8:$G$63,C65,'ریز گزارش ارزی'!$AO$8:$AO$63,D65,'ریز گزارش ارزی'!$AP$8:$AP$63,E65)</f>
        <v>0</v>
      </c>
      <c r="H65" s="146">
        <f>SUMIFS('ریز گزارش ارزی'!$AD$8:$AD$63,'ریز گزارش ارزی'!$AD$8:$AD$63,"&gt;0",'ریز گزارش ارزی'!$AG$8:$AG$63,"قرض",'ریز گزارش ارزی'!$H$8:$H$63,F65,'ریز گزارش ارزی'!$F$8:$F$63,B65,'ریز گزارش ارزی'!$G$8:$G$63,C65,'ریز گزارش ارزی'!$AO$8:$AO$63,D65,'ریز گزارش ارزی'!$AP$8:$AP$63,E65)</f>
        <v>0</v>
      </c>
      <c r="I65" s="146">
        <f>SUMIFS('ریز گزارش ارزی'!$AC$8:$AC$63,'ریز گزارش ارزی'!$AC$8:$AC$63,"&gt;0",'ریز گزارش ارزی'!$AG$8:$AG$63,"عودت قرض",'ریز گزارش ارزی'!$H$8:$H$63,F65,'ریز گزارش ارزی'!$F$8:$F$63,B65,'ریز گزارش ارزی'!$G$8:$G$63,C65,'ریز گزارش ارزی'!$AO$8:$AO$63,D65,'ریز گزارش ارزی'!$AP$8:$AP$63,E65)</f>
        <v>0</v>
      </c>
      <c r="J65" s="146">
        <f>SUMIFS('ریز گزارش ارزی'!$AD$8:$AD$63,'ریز گزارش ارزی'!$AD$8:$AD$63,"&gt;0",'ریز گزارش ارزی'!$AG$8:$AG$63,"عودت قرض",'ریز گزارش ارزی'!$H$8:$H$63,F65,'ریز گزارش ارزی'!$F$8:$F$63,B65,'ریز گزارش ارزی'!$G$8:$G$63,C65,'ریز گزارش ارزی'!$AO$8:$AO$63,D65,'ریز گزارش ارزی'!$AP$8:$AP$63,E65)</f>
        <v>0</v>
      </c>
      <c r="K65" s="63">
        <f t="shared" si="24"/>
        <v>0</v>
      </c>
      <c r="L65" s="63">
        <f t="shared" si="19"/>
        <v>0</v>
      </c>
      <c r="M65" s="64">
        <f t="shared" si="25"/>
        <v>0</v>
      </c>
      <c r="N65" s="65" t="str">
        <f t="shared" si="21"/>
        <v>بی‌حساب</v>
      </c>
    </row>
    <row r="66" spans="2:14" ht="17.25" customHeight="1">
      <c r="B66" s="67" t="s">
        <v>148</v>
      </c>
      <c r="C66" s="54" t="s">
        <v>1</v>
      </c>
      <c r="D66" s="144" t="s">
        <v>9</v>
      </c>
      <c r="E66" s="145" t="s">
        <v>156</v>
      </c>
      <c r="F66" s="145" t="s">
        <v>37</v>
      </c>
      <c r="G66" s="146">
        <f>SUMIFS('ریز گزارش ارزی'!$AC$8:$AC$63,'ریز گزارش ارزی'!$AC$8:$AC$63,"&gt;0",'ریز گزارش ارزی'!$AG$8:$AG$63,"قرض",'ریز گزارش ارزی'!$H$8:$H$63,F66,'ریز گزارش ارزی'!$F$8:$F$63,B66,'ریز گزارش ارزی'!$G$8:$G$63,C66,'ریز گزارش ارزی'!$AO$8:$AO$63,D66,'ریز گزارش ارزی'!$AP$8:$AP$63,E66)</f>
        <v>0</v>
      </c>
      <c r="H66" s="146">
        <f>SUMIFS('ریز گزارش ارزی'!$AD$8:$AD$63,'ریز گزارش ارزی'!$AD$8:$AD$63,"&gt;0",'ریز گزارش ارزی'!$AG$8:$AG$63,"قرض",'ریز گزارش ارزی'!$H$8:$H$63,F66,'ریز گزارش ارزی'!$F$8:$F$63,B66,'ریز گزارش ارزی'!$G$8:$G$63,C66,'ریز گزارش ارزی'!$AO$8:$AO$63,D66,'ریز گزارش ارزی'!$AP$8:$AP$63,E66)</f>
        <v>0</v>
      </c>
      <c r="I66" s="146">
        <f>SUMIFS('ریز گزارش ارزی'!$AC$8:$AC$63,'ریز گزارش ارزی'!$AC$8:$AC$63,"&gt;0",'ریز گزارش ارزی'!$AG$8:$AG$63,"عودت قرض",'ریز گزارش ارزی'!$H$8:$H$63,F66,'ریز گزارش ارزی'!$F$8:$F$63,B66,'ریز گزارش ارزی'!$G$8:$G$63,C66,'ریز گزارش ارزی'!$AO$8:$AO$63,D66,'ریز گزارش ارزی'!$AP$8:$AP$63,E66)</f>
        <v>0</v>
      </c>
      <c r="J66" s="146">
        <f>SUMIFS('ریز گزارش ارزی'!$AD$8:$AD$63,'ریز گزارش ارزی'!$AD$8:$AD$63,"&gt;0",'ریز گزارش ارزی'!$AG$8:$AG$63,"عودت قرض",'ریز گزارش ارزی'!$H$8:$H$63,F66,'ریز گزارش ارزی'!$F$8:$F$63,B66,'ریز گزارش ارزی'!$G$8:$G$63,C66,'ریز گزارش ارزی'!$AO$8:$AO$63,D66,'ریز گزارش ارزی'!$AP$8:$AP$63,E66)</f>
        <v>0</v>
      </c>
      <c r="K66" s="63">
        <f t="shared" si="24"/>
        <v>0</v>
      </c>
      <c r="L66" s="63">
        <f t="shared" si="19"/>
        <v>0</v>
      </c>
      <c r="M66" s="64">
        <f t="shared" si="25"/>
        <v>0</v>
      </c>
      <c r="N66" s="65" t="str">
        <f t="shared" si="21"/>
        <v>بی‌حساب</v>
      </c>
    </row>
    <row r="67" spans="2:14" ht="17.25" customHeight="1">
      <c r="B67" s="67" t="s">
        <v>148</v>
      </c>
      <c r="C67" s="54" t="s">
        <v>1</v>
      </c>
      <c r="D67" s="144" t="s">
        <v>14</v>
      </c>
      <c r="E67" s="145" t="s">
        <v>156</v>
      </c>
      <c r="F67" s="145" t="s">
        <v>37</v>
      </c>
      <c r="G67" s="146">
        <f>SUMIFS('ریز گزارش ارزی'!$AC$8:$AC$63,'ریز گزارش ارزی'!$AC$8:$AC$63,"&gt;0",'ریز گزارش ارزی'!$AG$8:$AG$63,"قرض",'ریز گزارش ارزی'!$H$8:$H$63,F67,'ریز گزارش ارزی'!$F$8:$F$63,B67,'ریز گزارش ارزی'!$G$8:$G$63,C67,'ریز گزارش ارزی'!$AO$8:$AO$63,D67,'ریز گزارش ارزی'!$AP$8:$AP$63,E67)</f>
        <v>0</v>
      </c>
      <c r="H67" s="146">
        <f>SUMIFS('ریز گزارش ارزی'!$AD$8:$AD$63,'ریز گزارش ارزی'!$AD$8:$AD$63,"&gt;0",'ریز گزارش ارزی'!$AG$8:$AG$63,"قرض",'ریز گزارش ارزی'!$H$8:$H$63,F67,'ریز گزارش ارزی'!$F$8:$F$63,B67,'ریز گزارش ارزی'!$G$8:$G$63,C67,'ریز گزارش ارزی'!$AO$8:$AO$63,D67,'ریز گزارش ارزی'!$AP$8:$AP$63,E67)</f>
        <v>0</v>
      </c>
      <c r="I67" s="146">
        <f>SUMIFS('ریز گزارش ارزی'!$AC$8:$AC$63,'ریز گزارش ارزی'!$AC$8:$AC$63,"&gt;0",'ریز گزارش ارزی'!$AG$8:$AG$63,"عودت قرض",'ریز گزارش ارزی'!$H$8:$H$63,F67,'ریز گزارش ارزی'!$F$8:$F$63,B67,'ریز گزارش ارزی'!$G$8:$G$63,C67,'ریز گزارش ارزی'!$AO$8:$AO$63,D67,'ریز گزارش ارزی'!$AP$8:$AP$63,E67)</f>
        <v>0</v>
      </c>
      <c r="J67" s="146">
        <f>SUMIFS('ریز گزارش ارزی'!$AD$8:$AD$63,'ریز گزارش ارزی'!$AD$8:$AD$63,"&gt;0",'ریز گزارش ارزی'!$AG$8:$AG$63,"عودت قرض",'ریز گزارش ارزی'!$H$8:$H$63,F67,'ریز گزارش ارزی'!$F$8:$F$63,B67,'ریز گزارش ارزی'!$G$8:$G$63,C67,'ریز گزارش ارزی'!$AO$8:$AO$63,D67,'ریز گزارش ارزی'!$AP$8:$AP$63,E67)</f>
        <v>0</v>
      </c>
      <c r="K67" s="63">
        <f t="shared" si="24"/>
        <v>0</v>
      </c>
      <c r="L67" s="63">
        <f t="shared" si="19"/>
        <v>0</v>
      </c>
      <c r="M67" s="64">
        <f t="shared" si="25"/>
        <v>0</v>
      </c>
      <c r="N67" s="65" t="str">
        <f t="shared" si="21"/>
        <v>بی‌حساب</v>
      </c>
    </row>
    <row r="68" spans="2:14" ht="17.25" customHeight="1">
      <c r="B68" s="67" t="s">
        <v>148</v>
      </c>
      <c r="C68" s="54" t="s">
        <v>1</v>
      </c>
      <c r="D68" s="144" t="s">
        <v>5</v>
      </c>
      <c r="E68" s="145" t="s">
        <v>156</v>
      </c>
      <c r="F68" s="145" t="s">
        <v>37</v>
      </c>
      <c r="G68" s="146">
        <f>SUMIFS('ریز گزارش ارزی'!$AC$8:$AC$63,'ریز گزارش ارزی'!$AC$8:$AC$63,"&gt;0",'ریز گزارش ارزی'!$AG$8:$AG$63,"قرض",'ریز گزارش ارزی'!$H$8:$H$63,F68,'ریز گزارش ارزی'!$F$8:$F$63,B68,'ریز گزارش ارزی'!$G$8:$G$63,C68,'ریز گزارش ارزی'!$AO$8:$AO$63,D68,'ریز گزارش ارزی'!$AP$8:$AP$63,E68)</f>
        <v>0</v>
      </c>
      <c r="H68" s="146">
        <f>SUMIFS('ریز گزارش ارزی'!$AD$8:$AD$63,'ریز گزارش ارزی'!$AD$8:$AD$63,"&gt;0",'ریز گزارش ارزی'!$AG$8:$AG$63,"قرض",'ریز گزارش ارزی'!$H$8:$H$63,F68,'ریز گزارش ارزی'!$F$8:$F$63,B68,'ریز گزارش ارزی'!$G$8:$G$63,C68,'ریز گزارش ارزی'!$AO$8:$AO$63,D68,'ریز گزارش ارزی'!$AP$8:$AP$63,E68)</f>
        <v>0</v>
      </c>
      <c r="I68" s="146">
        <f>SUMIFS('ریز گزارش ارزی'!$AC$8:$AC$63,'ریز گزارش ارزی'!$AC$8:$AC$63,"&gt;0",'ریز گزارش ارزی'!$AG$8:$AG$63,"عودت قرض",'ریز گزارش ارزی'!$H$8:$H$63,F68,'ریز گزارش ارزی'!$F$8:$F$63,B68,'ریز گزارش ارزی'!$G$8:$G$63,C68,'ریز گزارش ارزی'!$AO$8:$AO$63,D68,'ریز گزارش ارزی'!$AP$8:$AP$63,E68)</f>
        <v>0</v>
      </c>
      <c r="J68" s="146">
        <f>SUMIFS('ریز گزارش ارزی'!$AD$8:$AD$63,'ریز گزارش ارزی'!$AD$8:$AD$63,"&gt;0",'ریز گزارش ارزی'!$AG$8:$AG$63,"عودت قرض",'ریز گزارش ارزی'!$H$8:$H$63,F68,'ریز گزارش ارزی'!$F$8:$F$63,B68,'ریز گزارش ارزی'!$G$8:$G$63,C68,'ریز گزارش ارزی'!$AO$8:$AO$63,D68,'ریز گزارش ارزی'!$AP$8:$AP$63,E68)</f>
        <v>0</v>
      </c>
      <c r="K68" s="63">
        <f t="shared" si="24"/>
        <v>0</v>
      </c>
      <c r="L68" s="63">
        <f t="shared" si="19"/>
        <v>0</v>
      </c>
      <c r="M68" s="64">
        <f t="shared" si="25"/>
        <v>0</v>
      </c>
      <c r="N68" s="65" t="str">
        <f t="shared" si="21"/>
        <v>بی‌حساب</v>
      </c>
    </row>
    <row r="69" spans="2:14" ht="17.25" customHeight="1">
      <c r="B69" s="67" t="s">
        <v>148</v>
      </c>
      <c r="C69" s="142" t="s">
        <v>3</v>
      </c>
      <c r="D69" s="55" t="s">
        <v>6</v>
      </c>
      <c r="E69" s="56" t="s">
        <v>156</v>
      </c>
      <c r="F69" s="56" t="s">
        <v>37</v>
      </c>
      <c r="G69" s="62">
        <f>SUMIFS('ریز گزارش ارزی'!$AC$8:$AC$63,'ریز گزارش ارزی'!$AC$8:$AC$63,"&gt;0",'ریز گزارش ارزی'!$AG$8:$AG$63,"قرض",'ریز گزارش ارزی'!$H$8:$H$63,F69,'ریز گزارش ارزی'!$F$8:$F$63,B69,'ریز گزارش ارزی'!$G$8:$G$63,C69,'ریز گزارش ارزی'!$AO$8:$AO$63,D69,'ریز گزارش ارزی'!$AP$8:$AP$63,E69)</f>
        <v>0</v>
      </c>
      <c r="H69" s="62">
        <f>SUMIFS('ریز گزارش ارزی'!$AD$8:$AD$63,'ریز گزارش ارزی'!$AD$8:$AD$63,"&gt;0",'ریز گزارش ارزی'!$AG$8:$AG$63,"قرض",'ریز گزارش ارزی'!$H$8:$H$63,F69,'ریز گزارش ارزی'!$F$8:$F$63,B69,'ریز گزارش ارزی'!$G$8:$G$63,C69,'ریز گزارش ارزی'!$AO$8:$AO$63,D69,'ریز گزارش ارزی'!$AP$8:$AP$63,E69)</f>
        <v>0</v>
      </c>
      <c r="I69" s="62">
        <f>SUMIFS('ریز گزارش ارزی'!$AC$8:$AC$63,'ریز گزارش ارزی'!$AC$8:$AC$63,"&gt;0",'ریز گزارش ارزی'!$AG$8:$AG$63,"عودت قرض",'ریز گزارش ارزی'!$H$8:$H$63,F69,'ریز گزارش ارزی'!$F$8:$F$63,B69,'ریز گزارش ارزی'!$G$8:$G$63,C69,'ریز گزارش ارزی'!$AO$8:$AO$63,D69,'ریز گزارش ارزی'!$AP$8:$AP$63,E69)</f>
        <v>0</v>
      </c>
      <c r="J69" s="62">
        <f>SUMIFS('ریز گزارش ارزی'!$AD$8:$AD$63,'ریز گزارش ارزی'!$AD$8:$AD$63,"&gt;0",'ریز گزارش ارزی'!$AG$8:$AG$63,"عودت قرض",'ریز گزارش ارزی'!$H$8:$H$63,F69,'ریز گزارش ارزی'!$F$8:$F$63,B69,'ریز گزارش ارزی'!$G$8:$G$63,C69,'ریز گزارش ارزی'!$AO$8:$AO$63,D69,'ریز گزارش ارزی'!$AP$8:$AP$63,E69)</f>
        <v>0</v>
      </c>
      <c r="K69" s="63">
        <f t="shared" si="24"/>
        <v>0</v>
      </c>
      <c r="L69" s="63">
        <f t="shared" si="19"/>
        <v>0</v>
      </c>
      <c r="M69" s="64">
        <f t="shared" si="25"/>
        <v>0</v>
      </c>
      <c r="N69" s="65" t="str">
        <f t="shared" si="21"/>
        <v>بی‌حساب</v>
      </c>
    </row>
    <row r="70" spans="2:14" ht="17.25" customHeight="1">
      <c r="B70" s="67" t="s">
        <v>148</v>
      </c>
      <c r="C70" s="142" t="s">
        <v>3</v>
      </c>
      <c r="D70" s="55" t="s">
        <v>0</v>
      </c>
      <c r="E70" s="56" t="s">
        <v>156</v>
      </c>
      <c r="F70" s="56" t="s">
        <v>37</v>
      </c>
      <c r="G70" s="62">
        <f>SUMIFS('ریز گزارش ارزی'!$AC$8:$AC$63,'ریز گزارش ارزی'!$AC$8:$AC$63,"&gt;0",'ریز گزارش ارزی'!$AG$8:$AG$63,"قرض",'ریز گزارش ارزی'!$H$8:$H$63,F70,'ریز گزارش ارزی'!$F$8:$F$63,B70,'ریز گزارش ارزی'!$G$8:$G$63,C70,'ریز گزارش ارزی'!$AO$8:$AO$63,D70,'ریز گزارش ارزی'!$AP$8:$AP$63,E70)</f>
        <v>0</v>
      </c>
      <c r="H70" s="62">
        <f>SUMIFS('ریز گزارش ارزی'!$AD$8:$AD$63,'ریز گزارش ارزی'!$AD$8:$AD$63,"&gt;0",'ریز گزارش ارزی'!$AG$8:$AG$63,"قرض",'ریز گزارش ارزی'!$H$8:$H$63,F70,'ریز گزارش ارزی'!$F$8:$F$63,B70,'ریز گزارش ارزی'!$G$8:$G$63,C70,'ریز گزارش ارزی'!$AO$8:$AO$63,D70,'ریز گزارش ارزی'!$AP$8:$AP$63,E70)</f>
        <v>0</v>
      </c>
      <c r="I70" s="62">
        <f>SUMIFS('ریز گزارش ارزی'!$AC$8:$AC$63,'ریز گزارش ارزی'!$AC$8:$AC$63,"&gt;0",'ریز گزارش ارزی'!$AG$8:$AG$63,"عودت قرض",'ریز گزارش ارزی'!$H$8:$H$63,F70,'ریز گزارش ارزی'!$F$8:$F$63,B70,'ریز گزارش ارزی'!$G$8:$G$63,C70,'ریز گزارش ارزی'!$AO$8:$AO$63,D70,'ریز گزارش ارزی'!$AP$8:$AP$63,E70)</f>
        <v>0</v>
      </c>
      <c r="J70" s="62">
        <f>SUMIFS('ریز گزارش ارزی'!$AD$8:$AD$63,'ریز گزارش ارزی'!$AD$8:$AD$63,"&gt;0",'ریز گزارش ارزی'!$AG$8:$AG$63,"عودت قرض",'ریز گزارش ارزی'!$H$8:$H$63,F70,'ریز گزارش ارزی'!$F$8:$F$63,B70,'ریز گزارش ارزی'!$G$8:$G$63,C70,'ریز گزارش ارزی'!$AO$8:$AO$63,D70,'ریز گزارش ارزی'!$AP$8:$AP$63,E70)</f>
        <v>0</v>
      </c>
      <c r="K70" s="63">
        <f t="shared" si="24"/>
        <v>0</v>
      </c>
      <c r="L70" s="63">
        <f t="shared" si="19"/>
        <v>0</v>
      </c>
      <c r="M70" s="64">
        <f t="shared" si="25"/>
        <v>0</v>
      </c>
      <c r="N70" s="65" t="str">
        <f t="shared" si="21"/>
        <v>بی‌حساب</v>
      </c>
    </row>
    <row r="71" spans="2:14" ht="17.25" customHeight="1">
      <c r="B71" s="67" t="s">
        <v>148</v>
      </c>
      <c r="C71" s="142" t="s">
        <v>3</v>
      </c>
      <c r="D71" s="55" t="s">
        <v>1</v>
      </c>
      <c r="E71" s="56" t="s">
        <v>156</v>
      </c>
      <c r="F71" s="56" t="s">
        <v>37</v>
      </c>
      <c r="G71" s="62">
        <f>SUMIFS('ریز گزارش ارزی'!$AC$8:$AC$63,'ریز گزارش ارزی'!$AC$8:$AC$63,"&gt;0",'ریز گزارش ارزی'!$AG$8:$AG$63,"قرض",'ریز گزارش ارزی'!$H$8:$H$63,F71,'ریز گزارش ارزی'!$F$8:$F$63,B71,'ریز گزارش ارزی'!$G$8:$G$63,C71,'ریز گزارش ارزی'!$AO$8:$AO$63,D71,'ریز گزارش ارزی'!$AP$8:$AP$63,E71)</f>
        <v>0</v>
      </c>
      <c r="H71" s="62">
        <f>SUMIFS('ریز گزارش ارزی'!$AD$8:$AD$63,'ریز گزارش ارزی'!$AD$8:$AD$63,"&gt;0",'ریز گزارش ارزی'!$AG$8:$AG$63,"قرض",'ریز گزارش ارزی'!$H$8:$H$63,F71,'ریز گزارش ارزی'!$F$8:$F$63,B71,'ریز گزارش ارزی'!$G$8:$G$63,C71,'ریز گزارش ارزی'!$AO$8:$AO$63,D71,'ریز گزارش ارزی'!$AP$8:$AP$63,E71)</f>
        <v>0</v>
      </c>
      <c r="I71" s="62">
        <f>SUMIFS('ریز گزارش ارزی'!$AC$8:$AC$63,'ریز گزارش ارزی'!$AC$8:$AC$63,"&gt;0",'ریز گزارش ارزی'!$AG$8:$AG$63,"عودت قرض",'ریز گزارش ارزی'!$H$8:$H$63,F71,'ریز گزارش ارزی'!$F$8:$F$63,B71,'ریز گزارش ارزی'!$G$8:$G$63,C71,'ریز گزارش ارزی'!$AO$8:$AO$63,D71,'ریز گزارش ارزی'!$AP$8:$AP$63,E71)</f>
        <v>0</v>
      </c>
      <c r="J71" s="62">
        <f>SUMIFS('ریز گزارش ارزی'!$AD$8:$AD$63,'ریز گزارش ارزی'!$AD$8:$AD$63,"&gt;0",'ریز گزارش ارزی'!$AG$8:$AG$63,"عودت قرض",'ریز گزارش ارزی'!$H$8:$H$63,F71,'ریز گزارش ارزی'!$F$8:$F$63,B71,'ریز گزارش ارزی'!$G$8:$G$63,C71,'ریز گزارش ارزی'!$AO$8:$AO$63,D71,'ریز گزارش ارزی'!$AP$8:$AP$63,E71)</f>
        <v>0</v>
      </c>
      <c r="K71" s="63">
        <f t="shared" si="24"/>
        <v>0</v>
      </c>
      <c r="L71" s="63">
        <f t="shared" si="19"/>
        <v>0</v>
      </c>
      <c r="M71" s="64">
        <f t="shared" si="25"/>
        <v>0</v>
      </c>
      <c r="N71" s="65" t="str">
        <f t="shared" si="21"/>
        <v>بی‌حساب</v>
      </c>
    </row>
    <row r="72" spans="2:14" ht="17.25" customHeight="1">
      <c r="B72" s="67" t="s">
        <v>148</v>
      </c>
      <c r="C72" s="142" t="s">
        <v>3</v>
      </c>
      <c r="D72" s="55" t="s">
        <v>3</v>
      </c>
      <c r="E72" s="56" t="s">
        <v>156</v>
      </c>
      <c r="F72" s="56" t="s">
        <v>37</v>
      </c>
      <c r="G72" s="62">
        <f>SUMIFS('ریز گزارش ارزی'!$AC$8:$AC$63,'ریز گزارش ارزی'!$AC$8:$AC$63,"&gt;0",'ریز گزارش ارزی'!$AG$8:$AG$63,"قرض",'ریز گزارش ارزی'!$H$8:$H$63,F72,'ریز گزارش ارزی'!$F$8:$F$63,B72,'ریز گزارش ارزی'!$G$8:$G$63,C72,'ریز گزارش ارزی'!$AO$8:$AO$63,D72,'ریز گزارش ارزی'!$AP$8:$AP$63,E72)</f>
        <v>0</v>
      </c>
      <c r="H72" s="62">
        <f>SUMIFS('ریز گزارش ارزی'!$AD$8:$AD$63,'ریز گزارش ارزی'!$AD$8:$AD$63,"&gt;0",'ریز گزارش ارزی'!$AG$8:$AG$63,"قرض",'ریز گزارش ارزی'!$H$8:$H$63,F72,'ریز گزارش ارزی'!$F$8:$F$63,B72,'ریز گزارش ارزی'!$G$8:$G$63,C72,'ریز گزارش ارزی'!$AO$8:$AO$63,D72,'ریز گزارش ارزی'!$AP$8:$AP$63,E72)</f>
        <v>0</v>
      </c>
      <c r="I72" s="62">
        <f>SUMIFS('ریز گزارش ارزی'!$AC$8:$AC$63,'ریز گزارش ارزی'!$AC$8:$AC$63,"&gt;0",'ریز گزارش ارزی'!$AG$8:$AG$63,"عودت قرض",'ریز گزارش ارزی'!$H$8:$H$63,F72,'ریز گزارش ارزی'!$F$8:$F$63,B72,'ریز گزارش ارزی'!$G$8:$G$63,C72,'ریز گزارش ارزی'!$AO$8:$AO$63,D72,'ریز گزارش ارزی'!$AP$8:$AP$63,E72)</f>
        <v>0</v>
      </c>
      <c r="J72" s="62">
        <f>SUMIFS('ریز گزارش ارزی'!$AD$8:$AD$63,'ریز گزارش ارزی'!$AD$8:$AD$63,"&gt;0",'ریز گزارش ارزی'!$AG$8:$AG$63,"عودت قرض",'ریز گزارش ارزی'!$H$8:$H$63,F72,'ریز گزارش ارزی'!$F$8:$F$63,B72,'ریز گزارش ارزی'!$G$8:$G$63,C72,'ریز گزارش ارزی'!$AO$8:$AO$63,D72,'ریز گزارش ارزی'!$AP$8:$AP$63,E72)</f>
        <v>0</v>
      </c>
      <c r="K72" s="63">
        <f t="shared" ref="K72" si="34">H72-I72</f>
        <v>0</v>
      </c>
      <c r="L72" s="63">
        <f t="shared" ref="L72" si="35">G72-J72</f>
        <v>0</v>
      </c>
      <c r="M72" s="64">
        <f t="shared" ref="M72" si="36">K72-L72</f>
        <v>0</v>
      </c>
      <c r="N72" s="65" t="str">
        <f t="shared" ref="N72" si="37">IF(M72=0,"بی‌حساب",IF(M72&gt;0,"طلبکار","بدهکار"))</f>
        <v>بی‌حساب</v>
      </c>
    </row>
    <row r="73" spans="2:14" ht="17.25" customHeight="1">
      <c r="B73" s="67" t="s">
        <v>148</v>
      </c>
      <c r="C73" s="142" t="s">
        <v>3</v>
      </c>
      <c r="D73" s="55" t="s">
        <v>9</v>
      </c>
      <c r="E73" s="56" t="s">
        <v>156</v>
      </c>
      <c r="F73" s="56" t="s">
        <v>37</v>
      </c>
      <c r="G73" s="62">
        <f>SUMIFS('ریز گزارش ارزی'!$AC$8:$AC$63,'ریز گزارش ارزی'!$AC$8:$AC$63,"&gt;0",'ریز گزارش ارزی'!$AG$8:$AG$63,"قرض",'ریز گزارش ارزی'!$H$8:$H$63,F73,'ریز گزارش ارزی'!$F$8:$F$63,B73,'ریز گزارش ارزی'!$G$8:$G$63,C73,'ریز گزارش ارزی'!$AO$8:$AO$63,D73,'ریز گزارش ارزی'!$AP$8:$AP$63,E73)</f>
        <v>0</v>
      </c>
      <c r="H73" s="62">
        <f>SUMIFS('ریز گزارش ارزی'!$AD$8:$AD$63,'ریز گزارش ارزی'!$AD$8:$AD$63,"&gt;0",'ریز گزارش ارزی'!$AG$8:$AG$63,"قرض",'ریز گزارش ارزی'!$H$8:$H$63,F73,'ریز گزارش ارزی'!$F$8:$F$63,B73,'ریز گزارش ارزی'!$G$8:$G$63,C73,'ریز گزارش ارزی'!$AO$8:$AO$63,D73,'ریز گزارش ارزی'!$AP$8:$AP$63,E73)</f>
        <v>0</v>
      </c>
      <c r="I73" s="62">
        <f>SUMIFS('ریز گزارش ارزی'!$AC$8:$AC$63,'ریز گزارش ارزی'!$AC$8:$AC$63,"&gt;0",'ریز گزارش ارزی'!$AG$8:$AG$63,"عودت قرض",'ریز گزارش ارزی'!$H$8:$H$63,F73,'ریز گزارش ارزی'!$F$8:$F$63,B73,'ریز گزارش ارزی'!$G$8:$G$63,C73,'ریز گزارش ارزی'!$AO$8:$AO$63,D73,'ریز گزارش ارزی'!$AP$8:$AP$63,E73)</f>
        <v>0</v>
      </c>
      <c r="J73" s="62">
        <f>SUMIFS('ریز گزارش ارزی'!$AD$8:$AD$63,'ریز گزارش ارزی'!$AD$8:$AD$63,"&gt;0",'ریز گزارش ارزی'!$AG$8:$AG$63,"عودت قرض",'ریز گزارش ارزی'!$H$8:$H$63,F73,'ریز گزارش ارزی'!$F$8:$F$63,B73,'ریز گزارش ارزی'!$G$8:$G$63,C73,'ریز گزارش ارزی'!$AO$8:$AO$63,D73,'ریز گزارش ارزی'!$AP$8:$AP$63,E73)</f>
        <v>0</v>
      </c>
      <c r="K73" s="63">
        <f t="shared" si="24"/>
        <v>0</v>
      </c>
      <c r="L73" s="63">
        <f t="shared" si="19"/>
        <v>0</v>
      </c>
      <c r="M73" s="64">
        <f t="shared" si="25"/>
        <v>0</v>
      </c>
      <c r="N73" s="65" t="str">
        <f t="shared" si="21"/>
        <v>بی‌حساب</v>
      </c>
    </row>
    <row r="74" spans="2:14" ht="17.25" customHeight="1">
      <c r="B74" s="67" t="s">
        <v>148</v>
      </c>
      <c r="C74" s="142" t="s">
        <v>3</v>
      </c>
      <c r="D74" s="55" t="s">
        <v>14</v>
      </c>
      <c r="E74" s="56" t="s">
        <v>156</v>
      </c>
      <c r="F74" s="56" t="s">
        <v>37</v>
      </c>
      <c r="G74" s="62">
        <f>SUMIFS('ریز گزارش ارزی'!$AC$8:$AC$63,'ریز گزارش ارزی'!$AC$8:$AC$63,"&gt;0",'ریز گزارش ارزی'!$AG$8:$AG$63,"قرض",'ریز گزارش ارزی'!$H$8:$H$63,F74,'ریز گزارش ارزی'!$F$8:$F$63,B74,'ریز گزارش ارزی'!$G$8:$G$63,C74,'ریز گزارش ارزی'!$AO$8:$AO$63,D74,'ریز گزارش ارزی'!$AP$8:$AP$63,E74)</f>
        <v>0</v>
      </c>
      <c r="H74" s="62">
        <f>SUMIFS('ریز گزارش ارزی'!$AD$8:$AD$63,'ریز گزارش ارزی'!$AD$8:$AD$63,"&gt;0",'ریز گزارش ارزی'!$AG$8:$AG$63,"قرض",'ریز گزارش ارزی'!$H$8:$H$63,F74,'ریز گزارش ارزی'!$F$8:$F$63,B74,'ریز گزارش ارزی'!$G$8:$G$63,C74,'ریز گزارش ارزی'!$AO$8:$AO$63,D74,'ریز گزارش ارزی'!$AP$8:$AP$63,E74)</f>
        <v>0</v>
      </c>
      <c r="I74" s="62">
        <f>SUMIFS('ریز گزارش ارزی'!$AC$8:$AC$63,'ریز گزارش ارزی'!$AC$8:$AC$63,"&gt;0",'ریز گزارش ارزی'!$AG$8:$AG$63,"عودت قرض",'ریز گزارش ارزی'!$H$8:$H$63,F74,'ریز گزارش ارزی'!$F$8:$F$63,B74,'ریز گزارش ارزی'!$G$8:$G$63,C74,'ریز گزارش ارزی'!$AO$8:$AO$63,D74,'ریز گزارش ارزی'!$AP$8:$AP$63,E74)</f>
        <v>0</v>
      </c>
      <c r="J74" s="62">
        <f>SUMIFS('ریز گزارش ارزی'!$AD$8:$AD$63,'ریز گزارش ارزی'!$AD$8:$AD$63,"&gt;0",'ریز گزارش ارزی'!$AG$8:$AG$63,"عودت قرض",'ریز گزارش ارزی'!$H$8:$H$63,F74,'ریز گزارش ارزی'!$F$8:$F$63,B74,'ریز گزارش ارزی'!$G$8:$G$63,C74,'ریز گزارش ارزی'!$AO$8:$AO$63,D74,'ریز گزارش ارزی'!$AP$8:$AP$63,E74)</f>
        <v>0</v>
      </c>
      <c r="K74" s="63">
        <f t="shared" si="24"/>
        <v>0</v>
      </c>
      <c r="L74" s="63">
        <f t="shared" si="19"/>
        <v>0</v>
      </c>
      <c r="M74" s="64">
        <f t="shared" si="25"/>
        <v>0</v>
      </c>
      <c r="N74" s="65" t="str">
        <f t="shared" si="21"/>
        <v>بی‌حساب</v>
      </c>
    </row>
    <row r="75" spans="2:14" ht="17.25" customHeight="1">
      <c r="B75" s="67" t="s">
        <v>148</v>
      </c>
      <c r="C75" s="142" t="s">
        <v>3</v>
      </c>
      <c r="D75" s="55" t="s">
        <v>5</v>
      </c>
      <c r="E75" s="56" t="s">
        <v>156</v>
      </c>
      <c r="F75" s="56" t="s">
        <v>37</v>
      </c>
      <c r="G75" s="62">
        <f>SUMIFS('ریز گزارش ارزی'!$AC$8:$AC$63,'ریز گزارش ارزی'!$AC$8:$AC$63,"&gt;0",'ریز گزارش ارزی'!$AG$8:$AG$63,"قرض",'ریز گزارش ارزی'!$H$8:$H$63,F75,'ریز گزارش ارزی'!$F$8:$F$63,B75,'ریز گزارش ارزی'!$G$8:$G$63,C75,'ریز گزارش ارزی'!$AO$8:$AO$63,D75,'ریز گزارش ارزی'!$AP$8:$AP$63,E75)</f>
        <v>0</v>
      </c>
      <c r="H75" s="62">
        <f>SUMIFS('ریز گزارش ارزی'!$AD$8:$AD$63,'ریز گزارش ارزی'!$AD$8:$AD$63,"&gt;0",'ریز گزارش ارزی'!$AG$8:$AG$63,"قرض",'ریز گزارش ارزی'!$H$8:$H$63,F75,'ریز گزارش ارزی'!$F$8:$F$63,B75,'ریز گزارش ارزی'!$G$8:$G$63,C75,'ریز گزارش ارزی'!$AO$8:$AO$63,D75,'ریز گزارش ارزی'!$AP$8:$AP$63,E75)</f>
        <v>0</v>
      </c>
      <c r="I75" s="62">
        <f>SUMIFS('ریز گزارش ارزی'!$AC$8:$AC$63,'ریز گزارش ارزی'!$AC$8:$AC$63,"&gt;0",'ریز گزارش ارزی'!$AG$8:$AG$63,"عودت قرض",'ریز گزارش ارزی'!$H$8:$H$63,F75,'ریز گزارش ارزی'!$F$8:$F$63,B75,'ریز گزارش ارزی'!$G$8:$G$63,C75,'ریز گزارش ارزی'!$AO$8:$AO$63,D75,'ریز گزارش ارزی'!$AP$8:$AP$63,E75)</f>
        <v>0</v>
      </c>
      <c r="J75" s="62">
        <f>SUMIFS('ریز گزارش ارزی'!$AD$8:$AD$63,'ریز گزارش ارزی'!$AD$8:$AD$63,"&gt;0",'ریز گزارش ارزی'!$AG$8:$AG$63,"عودت قرض",'ریز گزارش ارزی'!$H$8:$H$63,F75,'ریز گزارش ارزی'!$F$8:$F$63,B75,'ریز گزارش ارزی'!$G$8:$G$63,C75,'ریز گزارش ارزی'!$AO$8:$AO$63,D75,'ریز گزارش ارزی'!$AP$8:$AP$63,E75)</f>
        <v>0</v>
      </c>
      <c r="K75" s="63">
        <f t="shared" si="24"/>
        <v>0</v>
      </c>
      <c r="L75" s="63">
        <f t="shared" si="19"/>
        <v>0</v>
      </c>
      <c r="M75" s="64">
        <f t="shared" si="25"/>
        <v>0</v>
      </c>
      <c r="N75" s="65" t="str">
        <f t="shared" si="21"/>
        <v>بی‌حساب</v>
      </c>
    </row>
    <row r="76" spans="2:14" ht="17.25" customHeight="1">
      <c r="B76" s="67" t="s">
        <v>148</v>
      </c>
      <c r="C76" s="59" t="s">
        <v>9</v>
      </c>
      <c r="D76" s="144" t="s">
        <v>6</v>
      </c>
      <c r="E76" s="145" t="s">
        <v>156</v>
      </c>
      <c r="F76" s="145" t="s">
        <v>37</v>
      </c>
      <c r="G76" s="146">
        <f>SUMIFS('ریز گزارش ارزی'!$AC$8:$AC$63,'ریز گزارش ارزی'!$AC$8:$AC$63,"&gt;0",'ریز گزارش ارزی'!$AG$8:$AG$63,"قرض",'ریز گزارش ارزی'!$H$8:$H$63,F76,'ریز گزارش ارزی'!$F$8:$F$63,B76,'ریز گزارش ارزی'!$G$8:$G$63,C76,'ریز گزارش ارزی'!$AO$8:$AO$63,D76,'ریز گزارش ارزی'!$AP$8:$AP$63,E76)</f>
        <v>0</v>
      </c>
      <c r="H76" s="146">
        <f>SUMIFS('ریز گزارش ارزی'!$AD$8:$AD$63,'ریز گزارش ارزی'!$AD$8:$AD$63,"&gt;0",'ریز گزارش ارزی'!$AG$8:$AG$63,"قرض",'ریز گزارش ارزی'!$H$8:$H$63,F76,'ریز گزارش ارزی'!$F$8:$F$63,B76,'ریز گزارش ارزی'!$G$8:$G$63,C76,'ریز گزارش ارزی'!$AO$8:$AO$63,D76,'ریز گزارش ارزی'!$AP$8:$AP$63,E76)</f>
        <v>0</v>
      </c>
      <c r="I76" s="146">
        <f>SUMIFS('ریز گزارش ارزی'!$AC$8:$AC$63,'ریز گزارش ارزی'!$AC$8:$AC$63,"&gt;0",'ریز گزارش ارزی'!$AG$8:$AG$63,"عودت قرض",'ریز گزارش ارزی'!$H$8:$H$63,F76,'ریز گزارش ارزی'!$F$8:$F$63,B76,'ریز گزارش ارزی'!$G$8:$G$63,C76,'ریز گزارش ارزی'!$AO$8:$AO$63,D76,'ریز گزارش ارزی'!$AP$8:$AP$63,E76)</f>
        <v>0</v>
      </c>
      <c r="J76" s="146">
        <f>SUMIFS('ریز گزارش ارزی'!$AD$8:$AD$63,'ریز گزارش ارزی'!$AD$8:$AD$63,"&gt;0",'ریز گزارش ارزی'!$AG$8:$AG$63,"عودت قرض",'ریز گزارش ارزی'!$H$8:$H$63,F76,'ریز گزارش ارزی'!$F$8:$F$63,B76,'ریز گزارش ارزی'!$G$8:$G$63,C76,'ریز گزارش ارزی'!$AO$8:$AO$63,D76,'ریز گزارش ارزی'!$AP$8:$AP$63,E76)</f>
        <v>0</v>
      </c>
      <c r="K76" s="63">
        <f t="shared" si="24"/>
        <v>0</v>
      </c>
      <c r="L76" s="63">
        <f t="shared" si="19"/>
        <v>0</v>
      </c>
      <c r="M76" s="64">
        <f t="shared" si="25"/>
        <v>0</v>
      </c>
      <c r="N76" s="65" t="str">
        <f t="shared" si="21"/>
        <v>بی‌حساب</v>
      </c>
    </row>
    <row r="77" spans="2:14" ht="17.25" customHeight="1">
      <c r="B77" s="67" t="s">
        <v>148</v>
      </c>
      <c r="C77" s="59" t="s">
        <v>9</v>
      </c>
      <c r="D77" s="144" t="s">
        <v>0</v>
      </c>
      <c r="E77" s="145" t="s">
        <v>156</v>
      </c>
      <c r="F77" s="145" t="s">
        <v>37</v>
      </c>
      <c r="G77" s="146">
        <f>SUMIFS('ریز گزارش ارزی'!$AC$8:$AC$63,'ریز گزارش ارزی'!$AC$8:$AC$63,"&gt;0",'ریز گزارش ارزی'!$AG$8:$AG$63,"قرض",'ریز گزارش ارزی'!$H$8:$H$63,F77,'ریز گزارش ارزی'!$F$8:$F$63,B77,'ریز گزارش ارزی'!$G$8:$G$63,C77,'ریز گزارش ارزی'!$AO$8:$AO$63,D77,'ریز گزارش ارزی'!$AP$8:$AP$63,E77)</f>
        <v>0</v>
      </c>
      <c r="H77" s="146">
        <f>SUMIFS('ریز گزارش ارزی'!$AD$8:$AD$63,'ریز گزارش ارزی'!$AD$8:$AD$63,"&gt;0",'ریز گزارش ارزی'!$AG$8:$AG$63,"قرض",'ریز گزارش ارزی'!$H$8:$H$63,F77,'ریز گزارش ارزی'!$F$8:$F$63,B77,'ریز گزارش ارزی'!$G$8:$G$63,C77,'ریز گزارش ارزی'!$AO$8:$AO$63,D77,'ریز گزارش ارزی'!$AP$8:$AP$63,E77)</f>
        <v>0</v>
      </c>
      <c r="I77" s="146">
        <f>SUMIFS('ریز گزارش ارزی'!$AC$8:$AC$63,'ریز گزارش ارزی'!$AC$8:$AC$63,"&gt;0",'ریز گزارش ارزی'!$AG$8:$AG$63,"عودت قرض",'ریز گزارش ارزی'!$H$8:$H$63,F77,'ریز گزارش ارزی'!$F$8:$F$63,B77,'ریز گزارش ارزی'!$G$8:$G$63,C77,'ریز گزارش ارزی'!$AO$8:$AO$63,D77,'ریز گزارش ارزی'!$AP$8:$AP$63,E77)</f>
        <v>0</v>
      </c>
      <c r="J77" s="146">
        <f>SUMIFS('ریز گزارش ارزی'!$AD$8:$AD$63,'ریز گزارش ارزی'!$AD$8:$AD$63,"&gt;0",'ریز گزارش ارزی'!$AG$8:$AG$63,"عودت قرض",'ریز گزارش ارزی'!$H$8:$H$63,F77,'ریز گزارش ارزی'!$F$8:$F$63,B77,'ریز گزارش ارزی'!$G$8:$G$63,C77,'ریز گزارش ارزی'!$AO$8:$AO$63,D77,'ریز گزارش ارزی'!$AP$8:$AP$63,E77)</f>
        <v>0</v>
      </c>
      <c r="K77" s="63">
        <f t="shared" si="24"/>
        <v>0</v>
      </c>
      <c r="L77" s="63">
        <f t="shared" si="19"/>
        <v>0</v>
      </c>
      <c r="M77" s="64">
        <f t="shared" si="25"/>
        <v>0</v>
      </c>
      <c r="N77" s="65" t="str">
        <f t="shared" si="21"/>
        <v>بی‌حساب</v>
      </c>
    </row>
    <row r="78" spans="2:14" ht="17.25" customHeight="1">
      <c r="B78" s="67" t="s">
        <v>148</v>
      </c>
      <c r="C78" s="59" t="s">
        <v>9</v>
      </c>
      <c r="D78" s="144" t="s">
        <v>1</v>
      </c>
      <c r="E78" s="145" t="s">
        <v>156</v>
      </c>
      <c r="F78" s="145" t="s">
        <v>37</v>
      </c>
      <c r="G78" s="146">
        <f>SUMIFS('ریز گزارش ارزی'!$AC$8:$AC$63,'ریز گزارش ارزی'!$AC$8:$AC$63,"&gt;0",'ریز گزارش ارزی'!$AG$8:$AG$63,"قرض",'ریز گزارش ارزی'!$H$8:$H$63,F78,'ریز گزارش ارزی'!$F$8:$F$63,B78,'ریز گزارش ارزی'!$G$8:$G$63,C78,'ریز گزارش ارزی'!$AO$8:$AO$63,D78,'ریز گزارش ارزی'!$AP$8:$AP$63,E78)</f>
        <v>0</v>
      </c>
      <c r="H78" s="146">
        <f>SUMIFS('ریز گزارش ارزی'!$AD$8:$AD$63,'ریز گزارش ارزی'!$AD$8:$AD$63,"&gt;0",'ریز گزارش ارزی'!$AG$8:$AG$63,"قرض",'ریز گزارش ارزی'!$H$8:$H$63,F78,'ریز گزارش ارزی'!$F$8:$F$63,B78,'ریز گزارش ارزی'!$G$8:$G$63,C78,'ریز گزارش ارزی'!$AO$8:$AO$63,D78,'ریز گزارش ارزی'!$AP$8:$AP$63,E78)</f>
        <v>0</v>
      </c>
      <c r="I78" s="146">
        <f>SUMIFS('ریز گزارش ارزی'!$AC$8:$AC$63,'ریز گزارش ارزی'!$AC$8:$AC$63,"&gt;0",'ریز گزارش ارزی'!$AG$8:$AG$63,"عودت قرض",'ریز گزارش ارزی'!$H$8:$H$63,F78,'ریز گزارش ارزی'!$F$8:$F$63,B78,'ریز گزارش ارزی'!$G$8:$G$63,C78,'ریز گزارش ارزی'!$AO$8:$AO$63,D78,'ریز گزارش ارزی'!$AP$8:$AP$63,E78)</f>
        <v>0</v>
      </c>
      <c r="J78" s="146">
        <f>SUMIFS('ریز گزارش ارزی'!$AD$8:$AD$63,'ریز گزارش ارزی'!$AD$8:$AD$63,"&gt;0",'ریز گزارش ارزی'!$AG$8:$AG$63,"عودت قرض",'ریز گزارش ارزی'!$H$8:$H$63,F78,'ریز گزارش ارزی'!$F$8:$F$63,B78,'ریز گزارش ارزی'!$G$8:$G$63,C78,'ریز گزارش ارزی'!$AO$8:$AO$63,D78,'ریز گزارش ارزی'!$AP$8:$AP$63,E78)</f>
        <v>0</v>
      </c>
      <c r="K78" s="63">
        <f t="shared" si="24"/>
        <v>0</v>
      </c>
      <c r="L78" s="63">
        <f t="shared" si="19"/>
        <v>0</v>
      </c>
      <c r="M78" s="64">
        <f t="shared" si="25"/>
        <v>0</v>
      </c>
      <c r="N78" s="65" t="str">
        <f t="shared" si="21"/>
        <v>بی‌حساب</v>
      </c>
    </row>
    <row r="79" spans="2:14" ht="17.25" customHeight="1">
      <c r="B79" s="67" t="s">
        <v>148</v>
      </c>
      <c r="C79" s="59" t="s">
        <v>9</v>
      </c>
      <c r="D79" s="144" t="s">
        <v>3</v>
      </c>
      <c r="E79" s="145" t="s">
        <v>156</v>
      </c>
      <c r="F79" s="145" t="s">
        <v>37</v>
      </c>
      <c r="G79" s="146">
        <f>SUMIFS('ریز گزارش ارزی'!$AC$8:$AC$63,'ریز گزارش ارزی'!$AC$8:$AC$63,"&gt;0",'ریز گزارش ارزی'!$AG$8:$AG$63,"قرض",'ریز گزارش ارزی'!$H$8:$H$63,F79,'ریز گزارش ارزی'!$F$8:$F$63,B79,'ریز گزارش ارزی'!$G$8:$G$63,C79,'ریز گزارش ارزی'!$AO$8:$AO$63,D79,'ریز گزارش ارزی'!$AP$8:$AP$63,E79)</f>
        <v>0</v>
      </c>
      <c r="H79" s="146">
        <f>SUMIFS('ریز گزارش ارزی'!$AD$8:$AD$63,'ریز گزارش ارزی'!$AD$8:$AD$63,"&gt;0",'ریز گزارش ارزی'!$AG$8:$AG$63,"قرض",'ریز گزارش ارزی'!$H$8:$H$63,F79,'ریز گزارش ارزی'!$F$8:$F$63,B79,'ریز گزارش ارزی'!$G$8:$G$63,C79,'ریز گزارش ارزی'!$AO$8:$AO$63,D79,'ریز گزارش ارزی'!$AP$8:$AP$63,E79)</f>
        <v>0</v>
      </c>
      <c r="I79" s="146">
        <f>SUMIFS('ریز گزارش ارزی'!$AC$8:$AC$63,'ریز گزارش ارزی'!$AC$8:$AC$63,"&gt;0",'ریز گزارش ارزی'!$AG$8:$AG$63,"عودت قرض",'ریز گزارش ارزی'!$H$8:$H$63,F79,'ریز گزارش ارزی'!$F$8:$F$63,B79,'ریز گزارش ارزی'!$G$8:$G$63,C79,'ریز گزارش ارزی'!$AO$8:$AO$63,D79,'ریز گزارش ارزی'!$AP$8:$AP$63,E79)</f>
        <v>0</v>
      </c>
      <c r="J79" s="146">
        <f>SUMIFS('ریز گزارش ارزی'!$AD$8:$AD$63,'ریز گزارش ارزی'!$AD$8:$AD$63,"&gt;0",'ریز گزارش ارزی'!$AG$8:$AG$63,"عودت قرض",'ریز گزارش ارزی'!$H$8:$H$63,F79,'ریز گزارش ارزی'!$F$8:$F$63,B79,'ریز گزارش ارزی'!$G$8:$G$63,C79,'ریز گزارش ارزی'!$AO$8:$AO$63,D79,'ریز گزارش ارزی'!$AP$8:$AP$63,E79)</f>
        <v>0</v>
      </c>
      <c r="K79" s="63">
        <f t="shared" si="24"/>
        <v>0</v>
      </c>
      <c r="L79" s="63">
        <f t="shared" si="19"/>
        <v>0</v>
      </c>
      <c r="M79" s="64">
        <f t="shared" si="25"/>
        <v>0</v>
      </c>
      <c r="N79" s="65" t="str">
        <f t="shared" si="21"/>
        <v>بی‌حساب</v>
      </c>
    </row>
    <row r="80" spans="2:14" ht="17.25" customHeight="1">
      <c r="B80" s="67" t="s">
        <v>148</v>
      </c>
      <c r="C80" s="59" t="s">
        <v>9</v>
      </c>
      <c r="D80" s="144" t="s">
        <v>9</v>
      </c>
      <c r="E80" s="145" t="s">
        <v>156</v>
      </c>
      <c r="F80" s="145" t="s">
        <v>37</v>
      </c>
      <c r="G80" s="146">
        <f>SUMIFS('ریز گزارش ارزی'!$AC$8:$AC$63,'ریز گزارش ارزی'!$AC$8:$AC$63,"&gt;0",'ریز گزارش ارزی'!$AG$8:$AG$63,"قرض",'ریز گزارش ارزی'!$H$8:$H$63,F80,'ریز گزارش ارزی'!$F$8:$F$63,B80,'ریز گزارش ارزی'!$G$8:$G$63,C80,'ریز گزارش ارزی'!$AO$8:$AO$63,D80,'ریز گزارش ارزی'!$AP$8:$AP$63,E80)</f>
        <v>0</v>
      </c>
      <c r="H80" s="146">
        <f>SUMIFS('ریز گزارش ارزی'!$AD$8:$AD$63,'ریز گزارش ارزی'!$AD$8:$AD$63,"&gt;0",'ریز گزارش ارزی'!$AG$8:$AG$63,"قرض",'ریز گزارش ارزی'!$H$8:$H$63,F80,'ریز گزارش ارزی'!$F$8:$F$63,B80,'ریز گزارش ارزی'!$G$8:$G$63,C80,'ریز گزارش ارزی'!$AO$8:$AO$63,D80,'ریز گزارش ارزی'!$AP$8:$AP$63,E80)</f>
        <v>0</v>
      </c>
      <c r="I80" s="146">
        <f>SUMIFS('ریز گزارش ارزی'!$AC$8:$AC$63,'ریز گزارش ارزی'!$AC$8:$AC$63,"&gt;0",'ریز گزارش ارزی'!$AG$8:$AG$63,"عودت قرض",'ریز گزارش ارزی'!$H$8:$H$63,F80,'ریز گزارش ارزی'!$F$8:$F$63,B80,'ریز گزارش ارزی'!$G$8:$G$63,C80,'ریز گزارش ارزی'!$AO$8:$AO$63,D80,'ریز گزارش ارزی'!$AP$8:$AP$63,E80)</f>
        <v>0</v>
      </c>
      <c r="J80" s="146">
        <f>SUMIFS('ریز گزارش ارزی'!$AD$8:$AD$63,'ریز گزارش ارزی'!$AD$8:$AD$63,"&gt;0",'ریز گزارش ارزی'!$AG$8:$AG$63,"عودت قرض",'ریز گزارش ارزی'!$H$8:$H$63,F80,'ریز گزارش ارزی'!$F$8:$F$63,B80,'ریز گزارش ارزی'!$G$8:$G$63,C80,'ریز گزارش ارزی'!$AO$8:$AO$63,D80,'ریز گزارش ارزی'!$AP$8:$AP$63,E80)</f>
        <v>0</v>
      </c>
      <c r="K80" s="63">
        <f t="shared" ref="K80" si="38">H80-I80</f>
        <v>0</v>
      </c>
      <c r="L80" s="63">
        <f t="shared" ref="L80" si="39">G80-J80</f>
        <v>0</v>
      </c>
      <c r="M80" s="64">
        <f t="shared" ref="M80" si="40">K80-L80</f>
        <v>0</v>
      </c>
      <c r="N80" s="65" t="str">
        <f t="shared" ref="N80" si="41">IF(M80=0,"بی‌حساب",IF(M80&gt;0,"طلبکار","بدهکار"))</f>
        <v>بی‌حساب</v>
      </c>
    </row>
    <row r="81" spans="2:14" ht="17.25" customHeight="1">
      <c r="B81" s="67" t="s">
        <v>148</v>
      </c>
      <c r="C81" s="59" t="s">
        <v>9</v>
      </c>
      <c r="D81" s="144" t="s">
        <v>14</v>
      </c>
      <c r="E81" s="145" t="s">
        <v>156</v>
      </c>
      <c r="F81" s="145" t="s">
        <v>37</v>
      </c>
      <c r="G81" s="146">
        <f>SUMIFS('ریز گزارش ارزی'!$AC$8:$AC$63,'ریز گزارش ارزی'!$AC$8:$AC$63,"&gt;0",'ریز گزارش ارزی'!$AG$8:$AG$63,"قرض",'ریز گزارش ارزی'!$H$8:$H$63,F81,'ریز گزارش ارزی'!$F$8:$F$63,B81,'ریز گزارش ارزی'!$G$8:$G$63,C81,'ریز گزارش ارزی'!$AO$8:$AO$63,D81,'ریز گزارش ارزی'!$AP$8:$AP$63,E81)</f>
        <v>0</v>
      </c>
      <c r="H81" s="146">
        <f>SUMIFS('ریز گزارش ارزی'!$AD$8:$AD$63,'ریز گزارش ارزی'!$AD$8:$AD$63,"&gt;0",'ریز گزارش ارزی'!$AG$8:$AG$63,"قرض",'ریز گزارش ارزی'!$H$8:$H$63,F81,'ریز گزارش ارزی'!$F$8:$F$63,B81,'ریز گزارش ارزی'!$G$8:$G$63,C81,'ریز گزارش ارزی'!$AO$8:$AO$63,D81,'ریز گزارش ارزی'!$AP$8:$AP$63,E81)</f>
        <v>0</v>
      </c>
      <c r="I81" s="146">
        <f>SUMIFS('ریز گزارش ارزی'!$AC$8:$AC$63,'ریز گزارش ارزی'!$AC$8:$AC$63,"&gt;0",'ریز گزارش ارزی'!$AG$8:$AG$63,"عودت قرض",'ریز گزارش ارزی'!$H$8:$H$63,F81,'ریز گزارش ارزی'!$F$8:$F$63,B81,'ریز گزارش ارزی'!$G$8:$G$63,C81,'ریز گزارش ارزی'!$AO$8:$AO$63,D81,'ریز گزارش ارزی'!$AP$8:$AP$63,E81)</f>
        <v>0</v>
      </c>
      <c r="J81" s="146">
        <f>SUMIFS('ریز گزارش ارزی'!$AD$8:$AD$63,'ریز گزارش ارزی'!$AD$8:$AD$63,"&gt;0",'ریز گزارش ارزی'!$AG$8:$AG$63,"عودت قرض",'ریز گزارش ارزی'!$H$8:$H$63,F81,'ریز گزارش ارزی'!$F$8:$F$63,B81,'ریز گزارش ارزی'!$G$8:$G$63,C81,'ریز گزارش ارزی'!$AO$8:$AO$63,D81,'ریز گزارش ارزی'!$AP$8:$AP$63,E81)</f>
        <v>0</v>
      </c>
      <c r="K81" s="63">
        <f t="shared" si="24"/>
        <v>0</v>
      </c>
      <c r="L81" s="63">
        <f t="shared" si="19"/>
        <v>0</v>
      </c>
      <c r="M81" s="64">
        <f t="shared" si="25"/>
        <v>0</v>
      </c>
      <c r="N81" s="65" t="str">
        <f t="shared" si="21"/>
        <v>بی‌حساب</v>
      </c>
    </row>
    <row r="82" spans="2:14" ht="17.25" customHeight="1">
      <c r="B82" s="67" t="s">
        <v>148</v>
      </c>
      <c r="C82" s="59" t="s">
        <v>9</v>
      </c>
      <c r="D82" s="144" t="s">
        <v>5</v>
      </c>
      <c r="E82" s="145" t="s">
        <v>156</v>
      </c>
      <c r="F82" s="145" t="s">
        <v>37</v>
      </c>
      <c r="G82" s="146">
        <f>SUMIFS('ریز گزارش ارزی'!$AC$8:$AC$63,'ریز گزارش ارزی'!$AC$8:$AC$63,"&gt;0",'ریز گزارش ارزی'!$AG$8:$AG$63,"قرض",'ریز گزارش ارزی'!$H$8:$H$63,F82,'ریز گزارش ارزی'!$F$8:$F$63,B82,'ریز گزارش ارزی'!$G$8:$G$63,C82,'ریز گزارش ارزی'!$AO$8:$AO$63,D82,'ریز گزارش ارزی'!$AP$8:$AP$63,E82)</f>
        <v>0</v>
      </c>
      <c r="H82" s="146">
        <f>SUMIFS('ریز گزارش ارزی'!$AD$8:$AD$63,'ریز گزارش ارزی'!$AD$8:$AD$63,"&gt;0",'ریز گزارش ارزی'!$AG$8:$AG$63,"قرض",'ریز گزارش ارزی'!$H$8:$H$63,F82,'ریز گزارش ارزی'!$F$8:$F$63,B82,'ریز گزارش ارزی'!$G$8:$G$63,C82,'ریز گزارش ارزی'!$AO$8:$AO$63,D82,'ریز گزارش ارزی'!$AP$8:$AP$63,E82)</f>
        <v>0</v>
      </c>
      <c r="I82" s="146">
        <f>SUMIFS('ریز گزارش ارزی'!$AC$8:$AC$63,'ریز گزارش ارزی'!$AC$8:$AC$63,"&gt;0",'ریز گزارش ارزی'!$AG$8:$AG$63,"عودت قرض",'ریز گزارش ارزی'!$H$8:$H$63,F82,'ریز گزارش ارزی'!$F$8:$F$63,B82,'ریز گزارش ارزی'!$G$8:$G$63,C82,'ریز گزارش ارزی'!$AO$8:$AO$63,D82,'ریز گزارش ارزی'!$AP$8:$AP$63,E82)</f>
        <v>0</v>
      </c>
      <c r="J82" s="146">
        <f>SUMIFS('ریز گزارش ارزی'!$AD$8:$AD$63,'ریز گزارش ارزی'!$AD$8:$AD$63,"&gt;0",'ریز گزارش ارزی'!$AG$8:$AG$63,"عودت قرض",'ریز گزارش ارزی'!$H$8:$H$63,F82,'ریز گزارش ارزی'!$F$8:$F$63,B82,'ریز گزارش ارزی'!$G$8:$G$63,C82,'ریز گزارش ارزی'!$AO$8:$AO$63,D82,'ریز گزارش ارزی'!$AP$8:$AP$63,E82)</f>
        <v>0</v>
      </c>
      <c r="K82" s="63">
        <f t="shared" si="24"/>
        <v>0</v>
      </c>
      <c r="L82" s="63">
        <f t="shared" si="19"/>
        <v>0</v>
      </c>
      <c r="M82" s="64">
        <f t="shared" si="25"/>
        <v>0</v>
      </c>
      <c r="N82" s="65" t="str">
        <f t="shared" si="21"/>
        <v>بی‌حساب</v>
      </c>
    </row>
    <row r="83" spans="2:14" ht="17.25" customHeight="1">
      <c r="B83" s="67" t="s">
        <v>148</v>
      </c>
      <c r="C83" s="60" t="s">
        <v>14</v>
      </c>
      <c r="D83" s="55" t="s">
        <v>6</v>
      </c>
      <c r="E83" s="56" t="s">
        <v>156</v>
      </c>
      <c r="F83" s="56" t="s">
        <v>37</v>
      </c>
      <c r="G83" s="62">
        <f>SUMIFS('ریز گزارش ارزی'!$AC$8:$AC$63,'ریز گزارش ارزی'!$AC$8:$AC$63,"&gt;0",'ریز گزارش ارزی'!$AG$8:$AG$63,"قرض",'ریز گزارش ارزی'!$H$8:$H$63,F83,'ریز گزارش ارزی'!$F$8:$F$63,B83,'ریز گزارش ارزی'!$G$8:$G$63,C83,'ریز گزارش ارزی'!$AO$8:$AO$63,D83,'ریز گزارش ارزی'!$AP$8:$AP$63,E83)</f>
        <v>0</v>
      </c>
      <c r="H83" s="62">
        <f>SUMIFS('ریز گزارش ارزی'!$AD$8:$AD$63,'ریز گزارش ارزی'!$AD$8:$AD$63,"&gt;0",'ریز گزارش ارزی'!$AG$8:$AG$63,"قرض",'ریز گزارش ارزی'!$H$8:$H$63,F83,'ریز گزارش ارزی'!$F$8:$F$63,B83,'ریز گزارش ارزی'!$G$8:$G$63,C83,'ریز گزارش ارزی'!$AO$8:$AO$63,D83,'ریز گزارش ارزی'!$AP$8:$AP$63,E83)</f>
        <v>0</v>
      </c>
      <c r="I83" s="62">
        <f>SUMIFS('ریز گزارش ارزی'!$AC$8:$AC$63,'ریز گزارش ارزی'!$AC$8:$AC$63,"&gt;0",'ریز گزارش ارزی'!$AG$8:$AG$63,"عودت قرض",'ریز گزارش ارزی'!$H$8:$H$63,F83,'ریز گزارش ارزی'!$F$8:$F$63,B83,'ریز گزارش ارزی'!$G$8:$G$63,C83,'ریز گزارش ارزی'!$AO$8:$AO$63,D83,'ریز گزارش ارزی'!$AP$8:$AP$63,E83)</f>
        <v>0</v>
      </c>
      <c r="J83" s="62">
        <f>SUMIFS('ریز گزارش ارزی'!$AD$8:$AD$63,'ریز گزارش ارزی'!$AD$8:$AD$63,"&gt;0",'ریز گزارش ارزی'!$AG$8:$AG$63,"عودت قرض",'ریز گزارش ارزی'!$H$8:$H$63,F83,'ریز گزارش ارزی'!$F$8:$F$63,B83,'ریز گزارش ارزی'!$G$8:$G$63,C83,'ریز گزارش ارزی'!$AO$8:$AO$63,D83,'ریز گزارش ارزی'!$AP$8:$AP$63,E83)</f>
        <v>0</v>
      </c>
      <c r="K83" s="63">
        <f t="shared" si="24"/>
        <v>0</v>
      </c>
      <c r="L83" s="63">
        <f t="shared" si="19"/>
        <v>0</v>
      </c>
      <c r="M83" s="64">
        <f t="shared" si="25"/>
        <v>0</v>
      </c>
      <c r="N83" s="65" t="str">
        <f t="shared" si="21"/>
        <v>بی‌حساب</v>
      </c>
    </row>
    <row r="84" spans="2:14" ht="17.25" customHeight="1">
      <c r="B84" s="67" t="s">
        <v>148</v>
      </c>
      <c r="C84" s="60" t="s">
        <v>14</v>
      </c>
      <c r="D84" s="55" t="s">
        <v>0</v>
      </c>
      <c r="E84" s="56" t="s">
        <v>156</v>
      </c>
      <c r="F84" s="56" t="s">
        <v>37</v>
      </c>
      <c r="G84" s="62">
        <f>SUMIFS('ریز گزارش ارزی'!$AC$8:$AC$63,'ریز گزارش ارزی'!$AC$8:$AC$63,"&gt;0",'ریز گزارش ارزی'!$AG$8:$AG$63,"قرض",'ریز گزارش ارزی'!$H$8:$H$63,F84,'ریز گزارش ارزی'!$F$8:$F$63,B84,'ریز گزارش ارزی'!$G$8:$G$63,C84,'ریز گزارش ارزی'!$AO$8:$AO$63,D84,'ریز گزارش ارزی'!$AP$8:$AP$63,E84)</f>
        <v>0</v>
      </c>
      <c r="H84" s="62">
        <f>SUMIFS('ریز گزارش ارزی'!$AD$8:$AD$63,'ریز گزارش ارزی'!$AD$8:$AD$63,"&gt;0",'ریز گزارش ارزی'!$AG$8:$AG$63,"قرض",'ریز گزارش ارزی'!$H$8:$H$63,F84,'ریز گزارش ارزی'!$F$8:$F$63,B84,'ریز گزارش ارزی'!$G$8:$G$63,C84,'ریز گزارش ارزی'!$AO$8:$AO$63,D84,'ریز گزارش ارزی'!$AP$8:$AP$63,E84)</f>
        <v>0</v>
      </c>
      <c r="I84" s="62">
        <f>SUMIFS('ریز گزارش ارزی'!$AC$8:$AC$63,'ریز گزارش ارزی'!$AC$8:$AC$63,"&gt;0",'ریز گزارش ارزی'!$AG$8:$AG$63,"عودت قرض",'ریز گزارش ارزی'!$H$8:$H$63,F84,'ریز گزارش ارزی'!$F$8:$F$63,B84,'ریز گزارش ارزی'!$G$8:$G$63,C84,'ریز گزارش ارزی'!$AO$8:$AO$63,D84,'ریز گزارش ارزی'!$AP$8:$AP$63,E84)</f>
        <v>0</v>
      </c>
      <c r="J84" s="62">
        <f>SUMIFS('ریز گزارش ارزی'!$AD$8:$AD$63,'ریز گزارش ارزی'!$AD$8:$AD$63,"&gt;0",'ریز گزارش ارزی'!$AG$8:$AG$63,"عودت قرض",'ریز گزارش ارزی'!$H$8:$H$63,F84,'ریز گزارش ارزی'!$F$8:$F$63,B84,'ریز گزارش ارزی'!$G$8:$G$63,C84,'ریز گزارش ارزی'!$AO$8:$AO$63,D84,'ریز گزارش ارزی'!$AP$8:$AP$63,E84)</f>
        <v>0</v>
      </c>
      <c r="K84" s="63">
        <f t="shared" si="24"/>
        <v>0</v>
      </c>
      <c r="L84" s="63">
        <f t="shared" si="19"/>
        <v>0</v>
      </c>
      <c r="M84" s="64">
        <f t="shared" si="25"/>
        <v>0</v>
      </c>
      <c r="N84" s="65" t="str">
        <f t="shared" si="21"/>
        <v>بی‌حساب</v>
      </c>
    </row>
    <row r="85" spans="2:14" ht="17.25" customHeight="1">
      <c r="B85" s="67" t="s">
        <v>148</v>
      </c>
      <c r="C85" s="60" t="s">
        <v>14</v>
      </c>
      <c r="D85" s="55" t="s">
        <v>1</v>
      </c>
      <c r="E85" s="56" t="s">
        <v>156</v>
      </c>
      <c r="F85" s="56" t="s">
        <v>37</v>
      </c>
      <c r="G85" s="62">
        <f>SUMIFS('ریز گزارش ارزی'!$AC$8:$AC$63,'ریز گزارش ارزی'!$AC$8:$AC$63,"&gt;0",'ریز گزارش ارزی'!$AG$8:$AG$63,"قرض",'ریز گزارش ارزی'!$H$8:$H$63,F85,'ریز گزارش ارزی'!$F$8:$F$63,B85,'ریز گزارش ارزی'!$G$8:$G$63,C85,'ریز گزارش ارزی'!$AO$8:$AO$63,D85,'ریز گزارش ارزی'!$AP$8:$AP$63,E85)</f>
        <v>0</v>
      </c>
      <c r="H85" s="62">
        <f>SUMIFS('ریز گزارش ارزی'!$AD$8:$AD$63,'ریز گزارش ارزی'!$AD$8:$AD$63,"&gt;0",'ریز گزارش ارزی'!$AG$8:$AG$63,"قرض",'ریز گزارش ارزی'!$H$8:$H$63,F85,'ریز گزارش ارزی'!$F$8:$F$63,B85,'ریز گزارش ارزی'!$G$8:$G$63,C85,'ریز گزارش ارزی'!$AO$8:$AO$63,D85,'ریز گزارش ارزی'!$AP$8:$AP$63,E85)</f>
        <v>0</v>
      </c>
      <c r="I85" s="62">
        <f>SUMIFS('ریز گزارش ارزی'!$AC$8:$AC$63,'ریز گزارش ارزی'!$AC$8:$AC$63,"&gt;0",'ریز گزارش ارزی'!$AG$8:$AG$63,"عودت قرض",'ریز گزارش ارزی'!$H$8:$H$63,F85,'ریز گزارش ارزی'!$F$8:$F$63,B85,'ریز گزارش ارزی'!$G$8:$G$63,C85,'ریز گزارش ارزی'!$AO$8:$AO$63,D85,'ریز گزارش ارزی'!$AP$8:$AP$63,E85)</f>
        <v>0</v>
      </c>
      <c r="J85" s="62">
        <f>SUMIFS('ریز گزارش ارزی'!$AD$8:$AD$63,'ریز گزارش ارزی'!$AD$8:$AD$63,"&gt;0",'ریز گزارش ارزی'!$AG$8:$AG$63,"عودت قرض",'ریز گزارش ارزی'!$H$8:$H$63,F85,'ریز گزارش ارزی'!$F$8:$F$63,B85,'ریز گزارش ارزی'!$G$8:$G$63,C85,'ریز گزارش ارزی'!$AO$8:$AO$63,D85,'ریز گزارش ارزی'!$AP$8:$AP$63,E85)</f>
        <v>0</v>
      </c>
      <c r="K85" s="63">
        <f t="shared" si="24"/>
        <v>0</v>
      </c>
      <c r="L85" s="63">
        <f t="shared" si="19"/>
        <v>0</v>
      </c>
      <c r="M85" s="64">
        <f t="shared" si="25"/>
        <v>0</v>
      </c>
      <c r="N85" s="65" t="str">
        <f t="shared" si="21"/>
        <v>بی‌حساب</v>
      </c>
    </row>
    <row r="86" spans="2:14" ht="17.25" customHeight="1">
      <c r="B86" s="67" t="s">
        <v>148</v>
      </c>
      <c r="C86" s="60" t="s">
        <v>14</v>
      </c>
      <c r="D86" s="55" t="s">
        <v>3</v>
      </c>
      <c r="E86" s="56" t="s">
        <v>156</v>
      </c>
      <c r="F86" s="56" t="s">
        <v>37</v>
      </c>
      <c r="G86" s="62">
        <f>SUMIFS('ریز گزارش ارزی'!$AC$8:$AC$63,'ریز گزارش ارزی'!$AC$8:$AC$63,"&gt;0",'ریز گزارش ارزی'!$AG$8:$AG$63,"قرض",'ریز گزارش ارزی'!$H$8:$H$63,F86,'ریز گزارش ارزی'!$F$8:$F$63,B86,'ریز گزارش ارزی'!$G$8:$G$63,C86,'ریز گزارش ارزی'!$AO$8:$AO$63,D86,'ریز گزارش ارزی'!$AP$8:$AP$63,E86)</f>
        <v>0</v>
      </c>
      <c r="H86" s="62">
        <f>SUMIFS('ریز گزارش ارزی'!$AD$8:$AD$63,'ریز گزارش ارزی'!$AD$8:$AD$63,"&gt;0",'ریز گزارش ارزی'!$AG$8:$AG$63,"قرض",'ریز گزارش ارزی'!$H$8:$H$63,F86,'ریز گزارش ارزی'!$F$8:$F$63,B86,'ریز گزارش ارزی'!$G$8:$G$63,C86,'ریز گزارش ارزی'!$AO$8:$AO$63,D86,'ریز گزارش ارزی'!$AP$8:$AP$63,E86)</f>
        <v>0</v>
      </c>
      <c r="I86" s="62">
        <f>SUMIFS('ریز گزارش ارزی'!$AC$8:$AC$63,'ریز گزارش ارزی'!$AC$8:$AC$63,"&gt;0",'ریز گزارش ارزی'!$AG$8:$AG$63,"عودت قرض",'ریز گزارش ارزی'!$H$8:$H$63,F86,'ریز گزارش ارزی'!$F$8:$F$63,B86,'ریز گزارش ارزی'!$G$8:$G$63,C86,'ریز گزارش ارزی'!$AO$8:$AO$63,D86,'ریز گزارش ارزی'!$AP$8:$AP$63,E86)</f>
        <v>0</v>
      </c>
      <c r="J86" s="62">
        <f>SUMIFS('ریز گزارش ارزی'!$AD$8:$AD$63,'ریز گزارش ارزی'!$AD$8:$AD$63,"&gt;0",'ریز گزارش ارزی'!$AG$8:$AG$63,"عودت قرض",'ریز گزارش ارزی'!$H$8:$H$63,F86,'ریز گزارش ارزی'!$F$8:$F$63,B86,'ریز گزارش ارزی'!$G$8:$G$63,C86,'ریز گزارش ارزی'!$AO$8:$AO$63,D86,'ریز گزارش ارزی'!$AP$8:$AP$63,E86)</f>
        <v>0</v>
      </c>
      <c r="K86" s="63">
        <f t="shared" si="24"/>
        <v>0</v>
      </c>
      <c r="L86" s="63">
        <f t="shared" si="19"/>
        <v>0</v>
      </c>
      <c r="M86" s="64">
        <f t="shared" si="25"/>
        <v>0</v>
      </c>
      <c r="N86" s="65" t="str">
        <f t="shared" si="21"/>
        <v>بی‌حساب</v>
      </c>
    </row>
    <row r="87" spans="2:14" ht="17.25" customHeight="1">
      <c r="B87" s="67" t="s">
        <v>148</v>
      </c>
      <c r="C87" s="60" t="s">
        <v>14</v>
      </c>
      <c r="D87" s="55" t="s">
        <v>9</v>
      </c>
      <c r="E87" s="56" t="s">
        <v>156</v>
      </c>
      <c r="F87" s="56" t="s">
        <v>37</v>
      </c>
      <c r="G87" s="62">
        <f>SUMIFS('ریز گزارش ارزی'!$AC$8:$AC$63,'ریز گزارش ارزی'!$AC$8:$AC$63,"&gt;0",'ریز گزارش ارزی'!$AG$8:$AG$63,"قرض",'ریز گزارش ارزی'!$H$8:$H$63,F87,'ریز گزارش ارزی'!$F$8:$F$63,B87,'ریز گزارش ارزی'!$G$8:$G$63,C87,'ریز گزارش ارزی'!$AO$8:$AO$63,D87,'ریز گزارش ارزی'!$AP$8:$AP$63,E87)</f>
        <v>0</v>
      </c>
      <c r="H87" s="62">
        <f>SUMIFS('ریز گزارش ارزی'!$AD$8:$AD$63,'ریز گزارش ارزی'!$AD$8:$AD$63,"&gt;0",'ریز گزارش ارزی'!$AG$8:$AG$63,"قرض",'ریز گزارش ارزی'!$H$8:$H$63,F87,'ریز گزارش ارزی'!$F$8:$F$63,B87,'ریز گزارش ارزی'!$G$8:$G$63,C87,'ریز گزارش ارزی'!$AO$8:$AO$63,D87,'ریز گزارش ارزی'!$AP$8:$AP$63,E87)</f>
        <v>0</v>
      </c>
      <c r="I87" s="62">
        <f>SUMIFS('ریز گزارش ارزی'!$AC$8:$AC$63,'ریز گزارش ارزی'!$AC$8:$AC$63,"&gt;0",'ریز گزارش ارزی'!$AG$8:$AG$63,"عودت قرض",'ریز گزارش ارزی'!$H$8:$H$63,F87,'ریز گزارش ارزی'!$F$8:$F$63,B87,'ریز گزارش ارزی'!$G$8:$G$63,C87,'ریز گزارش ارزی'!$AO$8:$AO$63,D87,'ریز گزارش ارزی'!$AP$8:$AP$63,E87)</f>
        <v>0</v>
      </c>
      <c r="J87" s="62">
        <f>SUMIFS('ریز گزارش ارزی'!$AD$8:$AD$63,'ریز گزارش ارزی'!$AD$8:$AD$63,"&gt;0",'ریز گزارش ارزی'!$AG$8:$AG$63,"عودت قرض",'ریز گزارش ارزی'!$H$8:$H$63,F87,'ریز گزارش ارزی'!$F$8:$F$63,B87,'ریز گزارش ارزی'!$G$8:$G$63,C87,'ریز گزارش ارزی'!$AO$8:$AO$63,D87,'ریز گزارش ارزی'!$AP$8:$AP$63,E87)</f>
        <v>0</v>
      </c>
      <c r="K87" s="63">
        <f t="shared" si="24"/>
        <v>0</v>
      </c>
      <c r="L87" s="63">
        <f t="shared" si="19"/>
        <v>0</v>
      </c>
      <c r="M87" s="64">
        <f t="shared" si="25"/>
        <v>0</v>
      </c>
      <c r="N87" s="65" t="str">
        <f t="shared" si="21"/>
        <v>بی‌حساب</v>
      </c>
    </row>
    <row r="88" spans="2:14" ht="17.25" customHeight="1">
      <c r="B88" s="67" t="s">
        <v>148</v>
      </c>
      <c r="C88" s="60" t="s">
        <v>14</v>
      </c>
      <c r="D88" s="55" t="s">
        <v>14</v>
      </c>
      <c r="E88" s="56" t="s">
        <v>156</v>
      </c>
      <c r="F88" s="56" t="s">
        <v>37</v>
      </c>
      <c r="G88" s="62">
        <f>SUMIFS('ریز گزارش ارزی'!$AC$8:$AC$63,'ریز گزارش ارزی'!$AC$8:$AC$63,"&gt;0",'ریز گزارش ارزی'!$AG$8:$AG$63,"قرض",'ریز گزارش ارزی'!$H$8:$H$63,F88,'ریز گزارش ارزی'!$F$8:$F$63,B88,'ریز گزارش ارزی'!$G$8:$G$63,C88,'ریز گزارش ارزی'!$AO$8:$AO$63,D88,'ریز گزارش ارزی'!$AP$8:$AP$63,E88)</f>
        <v>0</v>
      </c>
      <c r="H88" s="62">
        <f>SUMIFS('ریز گزارش ارزی'!$AD$8:$AD$63,'ریز گزارش ارزی'!$AD$8:$AD$63,"&gt;0",'ریز گزارش ارزی'!$AG$8:$AG$63,"قرض",'ریز گزارش ارزی'!$H$8:$H$63,F88,'ریز گزارش ارزی'!$F$8:$F$63,B88,'ریز گزارش ارزی'!$G$8:$G$63,C88,'ریز گزارش ارزی'!$AO$8:$AO$63,D88,'ریز گزارش ارزی'!$AP$8:$AP$63,E88)</f>
        <v>0</v>
      </c>
      <c r="I88" s="62">
        <f>SUMIFS('ریز گزارش ارزی'!$AC$8:$AC$63,'ریز گزارش ارزی'!$AC$8:$AC$63,"&gt;0",'ریز گزارش ارزی'!$AG$8:$AG$63,"عودت قرض",'ریز گزارش ارزی'!$H$8:$H$63,F88,'ریز گزارش ارزی'!$F$8:$F$63,B88,'ریز گزارش ارزی'!$G$8:$G$63,C88,'ریز گزارش ارزی'!$AO$8:$AO$63,D88,'ریز گزارش ارزی'!$AP$8:$AP$63,E88)</f>
        <v>0</v>
      </c>
      <c r="J88" s="62">
        <f>SUMIFS('ریز گزارش ارزی'!$AD$8:$AD$63,'ریز گزارش ارزی'!$AD$8:$AD$63,"&gt;0",'ریز گزارش ارزی'!$AG$8:$AG$63,"عودت قرض",'ریز گزارش ارزی'!$H$8:$H$63,F88,'ریز گزارش ارزی'!$F$8:$F$63,B88,'ریز گزارش ارزی'!$G$8:$G$63,C88,'ریز گزارش ارزی'!$AO$8:$AO$63,D88,'ریز گزارش ارزی'!$AP$8:$AP$63,E88)</f>
        <v>0</v>
      </c>
      <c r="K88" s="63">
        <f t="shared" ref="K88" si="42">H88-I88</f>
        <v>0</v>
      </c>
      <c r="L88" s="63">
        <f t="shared" ref="L88" si="43">G88-J88</f>
        <v>0</v>
      </c>
      <c r="M88" s="64">
        <f t="shared" ref="M88" si="44">K88-L88</f>
        <v>0</v>
      </c>
      <c r="N88" s="65" t="str">
        <f t="shared" ref="N88" si="45">IF(M88=0,"بی‌حساب",IF(M88&gt;0,"طلبکار","بدهکار"))</f>
        <v>بی‌حساب</v>
      </c>
    </row>
    <row r="89" spans="2:14" ht="17.25" customHeight="1">
      <c r="B89" s="67" t="s">
        <v>148</v>
      </c>
      <c r="C89" s="60" t="s">
        <v>14</v>
      </c>
      <c r="D89" s="55" t="s">
        <v>5</v>
      </c>
      <c r="E89" s="56" t="s">
        <v>156</v>
      </c>
      <c r="F89" s="56" t="s">
        <v>37</v>
      </c>
      <c r="G89" s="62">
        <f>SUMIFS('ریز گزارش ارزی'!$AC$8:$AC$63,'ریز گزارش ارزی'!$AC$8:$AC$63,"&gt;0",'ریز گزارش ارزی'!$AG$8:$AG$63,"قرض",'ریز گزارش ارزی'!$H$8:$H$63,F89,'ریز گزارش ارزی'!$F$8:$F$63,B89,'ریز گزارش ارزی'!$G$8:$G$63,C89,'ریز گزارش ارزی'!$AO$8:$AO$63,D89,'ریز گزارش ارزی'!$AP$8:$AP$63,E89)</f>
        <v>0</v>
      </c>
      <c r="H89" s="62">
        <f>SUMIFS('ریز گزارش ارزی'!$AD$8:$AD$63,'ریز گزارش ارزی'!$AD$8:$AD$63,"&gt;0",'ریز گزارش ارزی'!$AG$8:$AG$63,"قرض",'ریز گزارش ارزی'!$H$8:$H$63,F89,'ریز گزارش ارزی'!$F$8:$F$63,B89,'ریز گزارش ارزی'!$G$8:$G$63,C89,'ریز گزارش ارزی'!$AO$8:$AO$63,D89,'ریز گزارش ارزی'!$AP$8:$AP$63,E89)</f>
        <v>0</v>
      </c>
      <c r="I89" s="62">
        <f>SUMIFS('ریز گزارش ارزی'!$AC$8:$AC$63,'ریز گزارش ارزی'!$AC$8:$AC$63,"&gt;0",'ریز گزارش ارزی'!$AG$8:$AG$63,"عودت قرض",'ریز گزارش ارزی'!$H$8:$H$63,F89,'ریز گزارش ارزی'!$F$8:$F$63,B89,'ریز گزارش ارزی'!$G$8:$G$63,C89,'ریز گزارش ارزی'!$AO$8:$AO$63,D89,'ریز گزارش ارزی'!$AP$8:$AP$63,E89)</f>
        <v>0</v>
      </c>
      <c r="J89" s="62">
        <f>SUMIFS('ریز گزارش ارزی'!$AD$8:$AD$63,'ریز گزارش ارزی'!$AD$8:$AD$63,"&gt;0",'ریز گزارش ارزی'!$AG$8:$AG$63,"عودت قرض",'ریز گزارش ارزی'!$H$8:$H$63,F89,'ریز گزارش ارزی'!$F$8:$F$63,B89,'ریز گزارش ارزی'!$G$8:$G$63,C89,'ریز گزارش ارزی'!$AO$8:$AO$63,D89,'ریز گزارش ارزی'!$AP$8:$AP$63,E89)</f>
        <v>0</v>
      </c>
      <c r="K89" s="63">
        <f t="shared" si="24"/>
        <v>0</v>
      </c>
      <c r="L89" s="63">
        <f t="shared" si="19"/>
        <v>0</v>
      </c>
      <c r="M89" s="64">
        <f t="shared" si="25"/>
        <v>0</v>
      </c>
      <c r="N89" s="65" t="str">
        <f t="shared" si="21"/>
        <v>بی‌حساب</v>
      </c>
    </row>
    <row r="90" spans="2:14" ht="17.25" customHeight="1">
      <c r="B90" s="67" t="s">
        <v>148</v>
      </c>
      <c r="C90" s="143" t="s">
        <v>5</v>
      </c>
      <c r="D90" s="144" t="s">
        <v>6</v>
      </c>
      <c r="E90" s="145" t="s">
        <v>156</v>
      </c>
      <c r="F90" s="145" t="s">
        <v>37</v>
      </c>
      <c r="G90" s="146">
        <f>SUMIFS('ریز گزارش ارزی'!$AC$8:$AC$63,'ریز گزارش ارزی'!$AC$8:$AC$63,"&gt;0",'ریز گزارش ارزی'!$AG$8:$AG$63,"قرض",'ریز گزارش ارزی'!$H$8:$H$63,F90,'ریز گزارش ارزی'!$F$8:$F$63,B90,'ریز گزارش ارزی'!$G$8:$G$63,C90,'ریز گزارش ارزی'!$AO$8:$AO$63,D90,'ریز گزارش ارزی'!$AP$8:$AP$63,E90)</f>
        <v>0</v>
      </c>
      <c r="H90" s="146">
        <f>SUMIFS('ریز گزارش ارزی'!$AD$8:$AD$63,'ریز گزارش ارزی'!$AD$8:$AD$63,"&gt;0",'ریز گزارش ارزی'!$AG$8:$AG$63,"قرض",'ریز گزارش ارزی'!$H$8:$H$63,F90,'ریز گزارش ارزی'!$F$8:$F$63,B90,'ریز گزارش ارزی'!$G$8:$G$63,C90,'ریز گزارش ارزی'!$AO$8:$AO$63,D90,'ریز گزارش ارزی'!$AP$8:$AP$63,E90)</f>
        <v>0</v>
      </c>
      <c r="I90" s="146">
        <f>SUMIFS('ریز گزارش ارزی'!$AC$8:$AC$63,'ریز گزارش ارزی'!$AC$8:$AC$63,"&gt;0",'ریز گزارش ارزی'!$AG$8:$AG$63,"عودت قرض",'ریز گزارش ارزی'!$H$8:$H$63,F90,'ریز گزارش ارزی'!$F$8:$F$63,B90,'ریز گزارش ارزی'!$G$8:$G$63,C90,'ریز گزارش ارزی'!$AO$8:$AO$63,D90,'ریز گزارش ارزی'!$AP$8:$AP$63,E90)</f>
        <v>0</v>
      </c>
      <c r="J90" s="146">
        <f>SUMIFS('ریز گزارش ارزی'!$AD$8:$AD$63,'ریز گزارش ارزی'!$AD$8:$AD$63,"&gt;0",'ریز گزارش ارزی'!$AG$8:$AG$63,"عودت قرض",'ریز گزارش ارزی'!$H$8:$H$63,F90,'ریز گزارش ارزی'!$F$8:$F$63,B90,'ریز گزارش ارزی'!$G$8:$G$63,C90,'ریز گزارش ارزی'!$AO$8:$AO$63,D90,'ریز گزارش ارزی'!$AP$8:$AP$63,E90)</f>
        <v>0</v>
      </c>
      <c r="K90" s="63">
        <f t="shared" si="24"/>
        <v>0</v>
      </c>
      <c r="L90" s="63">
        <f t="shared" si="19"/>
        <v>0</v>
      </c>
      <c r="M90" s="64">
        <f t="shared" si="25"/>
        <v>0</v>
      </c>
      <c r="N90" s="65" t="str">
        <f t="shared" si="21"/>
        <v>بی‌حساب</v>
      </c>
    </row>
    <row r="91" spans="2:14" ht="17.25" customHeight="1">
      <c r="B91" s="67" t="s">
        <v>148</v>
      </c>
      <c r="C91" s="143" t="s">
        <v>5</v>
      </c>
      <c r="D91" s="144" t="s">
        <v>0</v>
      </c>
      <c r="E91" s="145" t="s">
        <v>156</v>
      </c>
      <c r="F91" s="145" t="s">
        <v>37</v>
      </c>
      <c r="G91" s="146">
        <f>SUMIFS('ریز گزارش ارزی'!$AC$8:$AC$63,'ریز گزارش ارزی'!$AC$8:$AC$63,"&gt;0",'ریز گزارش ارزی'!$AG$8:$AG$63,"قرض",'ریز گزارش ارزی'!$H$8:$H$63,F91,'ریز گزارش ارزی'!$F$8:$F$63,B91,'ریز گزارش ارزی'!$G$8:$G$63,C91,'ریز گزارش ارزی'!$AO$8:$AO$63,D91,'ریز گزارش ارزی'!$AP$8:$AP$63,E91)</f>
        <v>0</v>
      </c>
      <c r="H91" s="146">
        <f>SUMIFS('ریز گزارش ارزی'!$AD$8:$AD$63,'ریز گزارش ارزی'!$AD$8:$AD$63,"&gt;0",'ریز گزارش ارزی'!$AG$8:$AG$63,"قرض",'ریز گزارش ارزی'!$H$8:$H$63,F91,'ریز گزارش ارزی'!$F$8:$F$63,B91,'ریز گزارش ارزی'!$G$8:$G$63,C91,'ریز گزارش ارزی'!$AO$8:$AO$63,D91,'ریز گزارش ارزی'!$AP$8:$AP$63,E91)</f>
        <v>0</v>
      </c>
      <c r="I91" s="146">
        <f>SUMIFS('ریز گزارش ارزی'!$AC$8:$AC$63,'ریز گزارش ارزی'!$AC$8:$AC$63,"&gt;0",'ریز گزارش ارزی'!$AG$8:$AG$63,"عودت قرض",'ریز گزارش ارزی'!$H$8:$H$63,F91,'ریز گزارش ارزی'!$F$8:$F$63,B91,'ریز گزارش ارزی'!$G$8:$G$63,C91,'ریز گزارش ارزی'!$AO$8:$AO$63,D91,'ریز گزارش ارزی'!$AP$8:$AP$63,E91)</f>
        <v>0</v>
      </c>
      <c r="J91" s="146">
        <f>SUMIFS('ریز گزارش ارزی'!$AD$8:$AD$63,'ریز گزارش ارزی'!$AD$8:$AD$63,"&gt;0",'ریز گزارش ارزی'!$AG$8:$AG$63,"عودت قرض",'ریز گزارش ارزی'!$H$8:$H$63,F91,'ریز گزارش ارزی'!$F$8:$F$63,B91,'ریز گزارش ارزی'!$G$8:$G$63,C91,'ریز گزارش ارزی'!$AO$8:$AO$63,D91,'ریز گزارش ارزی'!$AP$8:$AP$63,E91)</f>
        <v>0</v>
      </c>
      <c r="K91" s="63">
        <f t="shared" si="24"/>
        <v>0</v>
      </c>
      <c r="L91" s="63">
        <f t="shared" si="19"/>
        <v>0</v>
      </c>
      <c r="M91" s="64">
        <f t="shared" si="25"/>
        <v>0</v>
      </c>
      <c r="N91" s="65" t="str">
        <f t="shared" si="21"/>
        <v>بی‌حساب</v>
      </c>
    </row>
    <row r="92" spans="2:14" ht="17.25" customHeight="1">
      <c r="B92" s="67" t="s">
        <v>148</v>
      </c>
      <c r="C92" s="143" t="s">
        <v>5</v>
      </c>
      <c r="D92" s="144" t="s">
        <v>1</v>
      </c>
      <c r="E92" s="145" t="s">
        <v>156</v>
      </c>
      <c r="F92" s="145" t="s">
        <v>37</v>
      </c>
      <c r="G92" s="146">
        <f>SUMIFS('ریز گزارش ارزی'!$AC$8:$AC$63,'ریز گزارش ارزی'!$AC$8:$AC$63,"&gt;0",'ریز گزارش ارزی'!$AG$8:$AG$63,"قرض",'ریز گزارش ارزی'!$H$8:$H$63,F92,'ریز گزارش ارزی'!$F$8:$F$63,B92,'ریز گزارش ارزی'!$G$8:$G$63,C92,'ریز گزارش ارزی'!$AO$8:$AO$63,D92,'ریز گزارش ارزی'!$AP$8:$AP$63,E92)</f>
        <v>0</v>
      </c>
      <c r="H92" s="146">
        <f>SUMIFS('ریز گزارش ارزی'!$AD$8:$AD$63,'ریز گزارش ارزی'!$AD$8:$AD$63,"&gt;0",'ریز گزارش ارزی'!$AG$8:$AG$63,"قرض",'ریز گزارش ارزی'!$H$8:$H$63,F92,'ریز گزارش ارزی'!$F$8:$F$63,B92,'ریز گزارش ارزی'!$G$8:$G$63,C92,'ریز گزارش ارزی'!$AO$8:$AO$63,D92,'ریز گزارش ارزی'!$AP$8:$AP$63,E92)</f>
        <v>0</v>
      </c>
      <c r="I92" s="146">
        <f>SUMIFS('ریز گزارش ارزی'!$AC$8:$AC$63,'ریز گزارش ارزی'!$AC$8:$AC$63,"&gt;0",'ریز گزارش ارزی'!$AG$8:$AG$63,"عودت قرض",'ریز گزارش ارزی'!$H$8:$H$63,F92,'ریز گزارش ارزی'!$F$8:$F$63,B92,'ریز گزارش ارزی'!$G$8:$G$63,C92,'ریز گزارش ارزی'!$AO$8:$AO$63,D92,'ریز گزارش ارزی'!$AP$8:$AP$63,E92)</f>
        <v>0</v>
      </c>
      <c r="J92" s="146">
        <f>SUMIFS('ریز گزارش ارزی'!$AD$8:$AD$63,'ریز گزارش ارزی'!$AD$8:$AD$63,"&gt;0",'ریز گزارش ارزی'!$AG$8:$AG$63,"عودت قرض",'ریز گزارش ارزی'!$H$8:$H$63,F92,'ریز گزارش ارزی'!$F$8:$F$63,B92,'ریز گزارش ارزی'!$G$8:$G$63,C92,'ریز گزارش ارزی'!$AO$8:$AO$63,D92,'ریز گزارش ارزی'!$AP$8:$AP$63,E92)</f>
        <v>0</v>
      </c>
      <c r="K92" s="63">
        <f t="shared" si="24"/>
        <v>0</v>
      </c>
      <c r="L92" s="63">
        <f t="shared" si="19"/>
        <v>0</v>
      </c>
      <c r="M92" s="64">
        <f t="shared" si="25"/>
        <v>0</v>
      </c>
      <c r="N92" s="65" t="str">
        <f t="shared" si="21"/>
        <v>بی‌حساب</v>
      </c>
    </row>
    <row r="93" spans="2:14" ht="17.25" customHeight="1">
      <c r="B93" s="67" t="s">
        <v>148</v>
      </c>
      <c r="C93" s="143" t="s">
        <v>5</v>
      </c>
      <c r="D93" s="144" t="s">
        <v>3</v>
      </c>
      <c r="E93" s="145" t="s">
        <v>156</v>
      </c>
      <c r="F93" s="145" t="s">
        <v>37</v>
      </c>
      <c r="G93" s="146">
        <f>SUMIFS('ریز گزارش ارزی'!$AC$8:$AC$63,'ریز گزارش ارزی'!$AC$8:$AC$63,"&gt;0",'ریز گزارش ارزی'!$AG$8:$AG$63,"قرض",'ریز گزارش ارزی'!$H$8:$H$63,F93,'ریز گزارش ارزی'!$F$8:$F$63,B93,'ریز گزارش ارزی'!$G$8:$G$63,C93,'ریز گزارش ارزی'!$AO$8:$AO$63,D93,'ریز گزارش ارزی'!$AP$8:$AP$63,E93)</f>
        <v>0</v>
      </c>
      <c r="H93" s="146">
        <f>SUMIFS('ریز گزارش ارزی'!$AD$8:$AD$63,'ریز گزارش ارزی'!$AD$8:$AD$63,"&gt;0",'ریز گزارش ارزی'!$AG$8:$AG$63,"قرض",'ریز گزارش ارزی'!$H$8:$H$63,F93,'ریز گزارش ارزی'!$F$8:$F$63,B93,'ریز گزارش ارزی'!$G$8:$G$63,C93,'ریز گزارش ارزی'!$AO$8:$AO$63,D93,'ریز گزارش ارزی'!$AP$8:$AP$63,E93)</f>
        <v>0</v>
      </c>
      <c r="I93" s="146">
        <f>SUMIFS('ریز گزارش ارزی'!$AC$8:$AC$63,'ریز گزارش ارزی'!$AC$8:$AC$63,"&gt;0",'ریز گزارش ارزی'!$AG$8:$AG$63,"عودت قرض",'ریز گزارش ارزی'!$H$8:$H$63,F93,'ریز گزارش ارزی'!$F$8:$F$63,B93,'ریز گزارش ارزی'!$G$8:$G$63,C93,'ریز گزارش ارزی'!$AO$8:$AO$63,D93,'ریز گزارش ارزی'!$AP$8:$AP$63,E93)</f>
        <v>0</v>
      </c>
      <c r="J93" s="146">
        <f>SUMIFS('ریز گزارش ارزی'!$AD$8:$AD$63,'ریز گزارش ارزی'!$AD$8:$AD$63,"&gt;0",'ریز گزارش ارزی'!$AG$8:$AG$63,"عودت قرض",'ریز گزارش ارزی'!$H$8:$H$63,F93,'ریز گزارش ارزی'!$F$8:$F$63,B93,'ریز گزارش ارزی'!$G$8:$G$63,C93,'ریز گزارش ارزی'!$AO$8:$AO$63,D93,'ریز گزارش ارزی'!$AP$8:$AP$63,E93)</f>
        <v>0</v>
      </c>
      <c r="K93" s="63">
        <f t="shared" si="24"/>
        <v>0</v>
      </c>
      <c r="L93" s="63">
        <f t="shared" si="19"/>
        <v>0</v>
      </c>
      <c r="M93" s="64">
        <f t="shared" si="25"/>
        <v>0</v>
      </c>
      <c r="N93" s="65" t="str">
        <f t="shared" si="21"/>
        <v>بی‌حساب</v>
      </c>
    </row>
    <row r="94" spans="2:14" ht="17.25" customHeight="1">
      <c r="B94" s="67" t="s">
        <v>148</v>
      </c>
      <c r="C94" s="143" t="s">
        <v>5</v>
      </c>
      <c r="D94" s="144" t="s">
        <v>9</v>
      </c>
      <c r="E94" s="145" t="s">
        <v>156</v>
      </c>
      <c r="F94" s="145" t="s">
        <v>37</v>
      </c>
      <c r="G94" s="146">
        <f>SUMIFS('ریز گزارش ارزی'!$AC$8:$AC$63,'ریز گزارش ارزی'!$AC$8:$AC$63,"&gt;0",'ریز گزارش ارزی'!$AG$8:$AG$63,"قرض",'ریز گزارش ارزی'!$H$8:$H$63,F94,'ریز گزارش ارزی'!$F$8:$F$63,B94,'ریز گزارش ارزی'!$G$8:$G$63,C94,'ریز گزارش ارزی'!$AO$8:$AO$63,D94,'ریز گزارش ارزی'!$AP$8:$AP$63,E94)</f>
        <v>0</v>
      </c>
      <c r="H94" s="146">
        <f>SUMIFS('ریز گزارش ارزی'!$AD$8:$AD$63,'ریز گزارش ارزی'!$AD$8:$AD$63,"&gt;0",'ریز گزارش ارزی'!$AG$8:$AG$63,"قرض",'ریز گزارش ارزی'!$H$8:$H$63,F94,'ریز گزارش ارزی'!$F$8:$F$63,B94,'ریز گزارش ارزی'!$G$8:$G$63,C94,'ریز گزارش ارزی'!$AO$8:$AO$63,D94,'ریز گزارش ارزی'!$AP$8:$AP$63,E94)</f>
        <v>0</v>
      </c>
      <c r="I94" s="146">
        <f>SUMIFS('ریز گزارش ارزی'!$AC$8:$AC$63,'ریز گزارش ارزی'!$AC$8:$AC$63,"&gt;0",'ریز گزارش ارزی'!$AG$8:$AG$63,"عودت قرض",'ریز گزارش ارزی'!$H$8:$H$63,F94,'ریز گزارش ارزی'!$F$8:$F$63,B94,'ریز گزارش ارزی'!$G$8:$G$63,C94,'ریز گزارش ارزی'!$AO$8:$AO$63,D94,'ریز گزارش ارزی'!$AP$8:$AP$63,E94)</f>
        <v>0</v>
      </c>
      <c r="J94" s="146">
        <f>SUMIFS('ریز گزارش ارزی'!$AD$8:$AD$63,'ریز گزارش ارزی'!$AD$8:$AD$63,"&gt;0",'ریز گزارش ارزی'!$AG$8:$AG$63,"عودت قرض",'ریز گزارش ارزی'!$H$8:$H$63,F94,'ریز گزارش ارزی'!$F$8:$F$63,B94,'ریز گزارش ارزی'!$G$8:$G$63,C94,'ریز گزارش ارزی'!$AO$8:$AO$63,D94,'ریز گزارش ارزی'!$AP$8:$AP$63,E94)</f>
        <v>0</v>
      </c>
      <c r="K94" s="63">
        <f t="shared" si="24"/>
        <v>0</v>
      </c>
      <c r="L94" s="63">
        <f t="shared" si="19"/>
        <v>0</v>
      </c>
      <c r="M94" s="64">
        <f t="shared" si="25"/>
        <v>0</v>
      </c>
      <c r="N94" s="65" t="str">
        <f t="shared" si="21"/>
        <v>بی‌حساب</v>
      </c>
    </row>
    <row r="95" spans="2:14" ht="17.25" customHeight="1">
      <c r="B95" s="67" t="s">
        <v>148</v>
      </c>
      <c r="C95" s="143" t="s">
        <v>5</v>
      </c>
      <c r="D95" s="144" t="s">
        <v>14</v>
      </c>
      <c r="E95" s="145" t="s">
        <v>156</v>
      </c>
      <c r="F95" s="145" t="s">
        <v>37</v>
      </c>
      <c r="G95" s="146">
        <f>SUMIFS('ریز گزارش ارزی'!$AC$8:$AC$63,'ریز گزارش ارزی'!$AC$8:$AC$63,"&gt;0",'ریز گزارش ارزی'!$AG$8:$AG$63,"قرض",'ریز گزارش ارزی'!$H$8:$H$63,F95,'ریز گزارش ارزی'!$F$8:$F$63,B95,'ریز گزارش ارزی'!$G$8:$G$63,C95,'ریز گزارش ارزی'!$AO$8:$AO$63,D95,'ریز گزارش ارزی'!$AP$8:$AP$63,E95)</f>
        <v>0</v>
      </c>
      <c r="H95" s="146">
        <f>SUMIFS('ریز گزارش ارزی'!$AD$8:$AD$63,'ریز گزارش ارزی'!$AD$8:$AD$63,"&gt;0",'ریز گزارش ارزی'!$AG$8:$AG$63,"قرض",'ریز گزارش ارزی'!$H$8:$H$63,F95,'ریز گزارش ارزی'!$F$8:$F$63,B95,'ریز گزارش ارزی'!$G$8:$G$63,C95,'ریز گزارش ارزی'!$AO$8:$AO$63,D95,'ریز گزارش ارزی'!$AP$8:$AP$63,E95)</f>
        <v>0</v>
      </c>
      <c r="I95" s="146">
        <f>SUMIFS('ریز گزارش ارزی'!$AC$8:$AC$63,'ریز گزارش ارزی'!$AC$8:$AC$63,"&gt;0",'ریز گزارش ارزی'!$AG$8:$AG$63,"عودت قرض",'ریز گزارش ارزی'!$H$8:$H$63,F95,'ریز گزارش ارزی'!$F$8:$F$63,B95,'ریز گزارش ارزی'!$G$8:$G$63,C95,'ریز گزارش ارزی'!$AO$8:$AO$63,D95,'ریز گزارش ارزی'!$AP$8:$AP$63,E95)</f>
        <v>0</v>
      </c>
      <c r="J95" s="146">
        <f>SUMIFS('ریز گزارش ارزی'!$AD$8:$AD$63,'ریز گزارش ارزی'!$AD$8:$AD$63,"&gt;0",'ریز گزارش ارزی'!$AG$8:$AG$63,"عودت قرض",'ریز گزارش ارزی'!$H$8:$H$63,F95,'ریز گزارش ارزی'!$F$8:$F$63,B95,'ریز گزارش ارزی'!$G$8:$G$63,C95,'ریز گزارش ارزی'!$AO$8:$AO$63,D95,'ریز گزارش ارزی'!$AP$8:$AP$63,E95)</f>
        <v>0</v>
      </c>
      <c r="K95" s="63">
        <f t="shared" si="24"/>
        <v>0</v>
      </c>
      <c r="L95" s="63">
        <f t="shared" ref="L95:L96" si="46">G95-J95</f>
        <v>0</v>
      </c>
      <c r="M95" s="64">
        <f t="shared" si="25"/>
        <v>0</v>
      </c>
      <c r="N95" s="65" t="str">
        <f t="shared" ref="N95:N96" si="47">IF(M95=0,"بی‌حساب",IF(M95&gt;0,"طلبکار","بدهکار"))</f>
        <v>بی‌حساب</v>
      </c>
    </row>
    <row r="96" spans="2:14" ht="17.25" customHeight="1">
      <c r="B96" s="67" t="s">
        <v>148</v>
      </c>
      <c r="C96" s="143" t="s">
        <v>5</v>
      </c>
      <c r="D96" s="144" t="s">
        <v>5</v>
      </c>
      <c r="E96" s="145" t="s">
        <v>156</v>
      </c>
      <c r="F96" s="145" t="s">
        <v>37</v>
      </c>
      <c r="G96" s="146">
        <f>SUMIFS('ریز گزارش ارزی'!$AC$8:$AC$63,'ریز گزارش ارزی'!$AC$8:$AC$63,"&gt;0",'ریز گزارش ارزی'!$AG$8:$AG$63,"قرض",'ریز گزارش ارزی'!$H$8:$H$63,F96,'ریز گزارش ارزی'!$F$8:$F$63,B96,'ریز گزارش ارزی'!$G$8:$G$63,C96,'ریز گزارش ارزی'!$AO$8:$AO$63,D96,'ریز گزارش ارزی'!$AP$8:$AP$63,E96)</f>
        <v>0</v>
      </c>
      <c r="H96" s="146">
        <f>SUMIFS('ریز گزارش ارزی'!$AD$8:$AD$63,'ریز گزارش ارزی'!$AD$8:$AD$63,"&gt;0",'ریز گزارش ارزی'!$AG$8:$AG$63,"قرض",'ریز گزارش ارزی'!$H$8:$H$63,F96,'ریز گزارش ارزی'!$F$8:$F$63,B96,'ریز گزارش ارزی'!$G$8:$G$63,C96,'ریز گزارش ارزی'!$AO$8:$AO$63,D96,'ریز گزارش ارزی'!$AP$8:$AP$63,E96)</f>
        <v>0</v>
      </c>
      <c r="I96" s="146">
        <f>SUMIFS('ریز گزارش ارزی'!$AC$8:$AC$63,'ریز گزارش ارزی'!$AC$8:$AC$63,"&gt;0",'ریز گزارش ارزی'!$AG$8:$AG$63,"عودت قرض",'ریز گزارش ارزی'!$H$8:$H$63,F96,'ریز گزارش ارزی'!$F$8:$F$63,B96,'ریز گزارش ارزی'!$G$8:$G$63,C96,'ریز گزارش ارزی'!$AO$8:$AO$63,D96,'ریز گزارش ارزی'!$AP$8:$AP$63,E96)</f>
        <v>0</v>
      </c>
      <c r="J96" s="146">
        <f>SUMIFS('ریز گزارش ارزی'!$AD$8:$AD$63,'ریز گزارش ارزی'!$AD$8:$AD$63,"&gt;0",'ریز گزارش ارزی'!$AG$8:$AG$63,"عودت قرض",'ریز گزارش ارزی'!$H$8:$H$63,F96,'ریز گزارش ارزی'!$F$8:$F$63,B96,'ریز گزارش ارزی'!$G$8:$G$63,C96,'ریز گزارش ارزی'!$AO$8:$AO$63,D96,'ریز گزارش ارزی'!$AP$8:$AP$63,E96)</f>
        <v>0</v>
      </c>
      <c r="K96" s="63">
        <f t="shared" si="24"/>
        <v>0</v>
      </c>
      <c r="L96" s="63">
        <f t="shared" si="46"/>
        <v>0</v>
      </c>
      <c r="M96" s="64">
        <f t="shared" si="25"/>
        <v>0</v>
      </c>
      <c r="N96" s="65" t="str">
        <f t="shared" si="47"/>
        <v>بی‌حساب</v>
      </c>
    </row>
    <row r="97" spans="2:14" ht="17.25" customHeight="1">
      <c r="B97" s="145" t="s">
        <v>156</v>
      </c>
      <c r="C97" s="58" t="s">
        <v>6</v>
      </c>
      <c r="D97" s="55" t="s">
        <v>0</v>
      </c>
      <c r="E97" s="56" t="s">
        <v>156</v>
      </c>
      <c r="F97" s="56" t="s">
        <v>37</v>
      </c>
      <c r="G97" s="62">
        <f>SUMIFS('ریز گزارش ارزی'!$AC$8:$AC$63,'ریز گزارش ارزی'!$AC$8:$AC$63,"&gt;0",'ریز گزارش ارزی'!$AG$8:$AG$63,"قرض",'ریز گزارش ارزی'!$H$8:$H$63,F97,'ریز گزارش ارزی'!$F$8:$F$63,B97,'ریز گزارش ارزی'!$G$8:$G$63,C97,'ریز گزارش ارزی'!$AO$8:$AO$63,D97,'ریز گزارش ارزی'!$AP$8:$AP$63,E97)</f>
        <v>0</v>
      </c>
      <c r="H97" s="62">
        <f>SUMIFS('ریز گزارش ارزی'!$AD$8:$AD$63,'ریز گزارش ارزی'!$AD$8:$AD$63,"&gt;0",'ریز گزارش ارزی'!$AG$8:$AG$63,"قرض",'ریز گزارش ارزی'!$H$8:$H$63,F97,'ریز گزارش ارزی'!$F$8:$F$63,B97,'ریز گزارش ارزی'!$G$8:$G$63,C97,'ریز گزارش ارزی'!$AO$8:$AO$63,D97,'ریز گزارش ارزی'!$AP$8:$AP$63,E97)</f>
        <v>0</v>
      </c>
      <c r="I97" s="62">
        <f>SUMIFS('ریز گزارش ارزی'!$AC$8:$AC$63,'ریز گزارش ارزی'!$AC$8:$AC$63,"&gt;0",'ریز گزارش ارزی'!$AG$8:$AG$63,"عودت قرض",'ریز گزارش ارزی'!$H$8:$H$63,F97,'ریز گزارش ارزی'!$F$8:$F$63,B97,'ریز گزارش ارزی'!$G$8:$G$63,C97,'ریز گزارش ارزی'!$AO$8:$AO$63,D97,'ریز گزارش ارزی'!$AP$8:$AP$63,E97)</f>
        <v>0</v>
      </c>
      <c r="J97" s="62">
        <f>SUMIFS('ریز گزارش ارزی'!$AD$8:$AD$63,'ریز گزارش ارزی'!$AD$8:$AD$63,"&gt;0",'ریز گزارش ارزی'!$AG$8:$AG$63,"عودت قرض",'ریز گزارش ارزی'!$H$8:$H$63,F97,'ریز گزارش ارزی'!$F$8:$F$63,B97,'ریز گزارش ارزی'!$G$8:$G$63,C97,'ریز گزارش ارزی'!$AO$8:$AO$63,D97,'ریز گزارش ارزی'!$AP$8:$AP$63,E97)</f>
        <v>0</v>
      </c>
      <c r="K97" s="63">
        <f>H97-I97</f>
        <v>0</v>
      </c>
      <c r="L97" s="63">
        <f t="shared" ref="L97:L160" si="48">G97-J97</f>
        <v>0</v>
      </c>
      <c r="M97" s="64">
        <f>K97-L97</f>
        <v>0</v>
      </c>
      <c r="N97" s="65" t="str">
        <f t="shared" ref="N97:N160" si="49">IF(M97=0,"بی‌حساب",IF(M97&gt;0,"طلبکار","بدهکار"))</f>
        <v>بی‌حساب</v>
      </c>
    </row>
    <row r="98" spans="2:14" ht="17.25" customHeight="1">
      <c r="B98" s="145" t="s">
        <v>156</v>
      </c>
      <c r="C98" s="58" t="s">
        <v>6</v>
      </c>
      <c r="D98" s="55" t="s">
        <v>1</v>
      </c>
      <c r="E98" s="56" t="s">
        <v>156</v>
      </c>
      <c r="F98" s="56" t="s">
        <v>37</v>
      </c>
      <c r="G98" s="62">
        <f>SUMIFS('ریز گزارش ارزی'!$AC$8:$AC$63,'ریز گزارش ارزی'!$AC$8:$AC$63,"&gt;0",'ریز گزارش ارزی'!$AG$8:$AG$63,"قرض",'ریز گزارش ارزی'!$H$8:$H$63,F98,'ریز گزارش ارزی'!$F$8:$F$63,B98,'ریز گزارش ارزی'!$G$8:$G$63,C98,'ریز گزارش ارزی'!$AO$8:$AO$63,D98,'ریز گزارش ارزی'!$AP$8:$AP$63,E98)</f>
        <v>0</v>
      </c>
      <c r="H98" s="62">
        <f>SUMIFS('ریز گزارش ارزی'!$AD$8:$AD$63,'ریز گزارش ارزی'!$AD$8:$AD$63,"&gt;0",'ریز گزارش ارزی'!$AG$8:$AG$63,"قرض",'ریز گزارش ارزی'!$H$8:$H$63,F98,'ریز گزارش ارزی'!$F$8:$F$63,B98,'ریز گزارش ارزی'!$G$8:$G$63,C98,'ریز گزارش ارزی'!$AO$8:$AO$63,D98,'ریز گزارش ارزی'!$AP$8:$AP$63,E98)</f>
        <v>0</v>
      </c>
      <c r="I98" s="62">
        <f>SUMIFS('ریز گزارش ارزی'!$AC$8:$AC$63,'ریز گزارش ارزی'!$AC$8:$AC$63,"&gt;0",'ریز گزارش ارزی'!$AG$8:$AG$63,"عودت قرض",'ریز گزارش ارزی'!$H$8:$H$63,F98,'ریز گزارش ارزی'!$F$8:$F$63,B98,'ریز گزارش ارزی'!$G$8:$G$63,C98,'ریز گزارش ارزی'!$AO$8:$AO$63,D98,'ریز گزارش ارزی'!$AP$8:$AP$63,E98)</f>
        <v>0</v>
      </c>
      <c r="J98" s="62">
        <f>SUMIFS('ریز گزارش ارزی'!$AD$8:$AD$63,'ریز گزارش ارزی'!$AD$8:$AD$63,"&gt;0",'ریز گزارش ارزی'!$AG$8:$AG$63,"عودت قرض",'ریز گزارش ارزی'!$H$8:$H$63,F98,'ریز گزارش ارزی'!$F$8:$F$63,B98,'ریز گزارش ارزی'!$G$8:$G$63,C98,'ریز گزارش ارزی'!$AO$8:$AO$63,D98,'ریز گزارش ارزی'!$AP$8:$AP$63,E98)</f>
        <v>0</v>
      </c>
      <c r="K98" s="63">
        <f t="shared" ref="K98:K138" si="50">H98-I98</f>
        <v>0</v>
      </c>
      <c r="L98" s="63">
        <f t="shared" si="48"/>
        <v>0</v>
      </c>
      <c r="M98" s="64">
        <f t="shared" ref="M98:M138" si="51">K98-L98</f>
        <v>0</v>
      </c>
      <c r="N98" s="65" t="str">
        <f t="shared" si="49"/>
        <v>بی‌حساب</v>
      </c>
    </row>
    <row r="99" spans="2:14" ht="17.25" customHeight="1">
      <c r="B99" s="145" t="s">
        <v>156</v>
      </c>
      <c r="C99" s="58" t="s">
        <v>6</v>
      </c>
      <c r="D99" s="55" t="s">
        <v>3</v>
      </c>
      <c r="E99" s="56" t="s">
        <v>156</v>
      </c>
      <c r="F99" s="56" t="s">
        <v>37</v>
      </c>
      <c r="G99" s="62">
        <f>SUMIFS('ریز گزارش ارزی'!$AC$8:$AC$63,'ریز گزارش ارزی'!$AC$8:$AC$63,"&gt;0",'ریز گزارش ارزی'!$AG$8:$AG$63,"قرض",'ریز گزارش ارزی'!$H$8:$H$63,F99,'ریز گزارش ارزی'!$F$8:$F$63,B99,'ریز گزارش ارزی'!$G$8:$G$63,C99,'ریز گزارش ارزی'!$AO$8:$AO$63,D99,'ریز گزارش ارزی'!$AP$8:$AP$63,E99)</f>
        <v>0</v>
      </c>
      <c r="H99" s="62">
        <f>SUMIFS('ریز گزارش ارزی'!$AD$8:$AD$63,'ریز گزارش ارزی'!$AD$8:$AD$63,"&gt;0",'ریز گزارش ارزی'!$AG$8:$AG$63,"قرض",'ریز گزارش ارزی'!$H$8:$H$63,F99,'ریز گزارش ارزی'!$F$8:$F$63,B99,'ریز گزارش ارزی'!$G$8:$G$63,C99,'ریز گزارش ارزی'!$AO$8:$AO$63,D99,'ریز گزارش ارزی'!$AP$8:$AP$63,E99)</f>
        <v>0</v>
      </c>
      <c r="I99" s="62">
        <f>SUMIFS('ریز گزارش ارزی'!$AC$8:$AC$63,'ریز گزارش ارزی'!$AC$8:$AC$63,"&gt;0",'ریز گزارش ارزی'!$AG$8:$AG$63,"عودت قرض",'ریز گزارش ارزی'!$H$8:$H$63,F99,'ریز گزارش ارزی'!$F$8:$F$63,B99,'ریز گزارش ارزی'!$G$8:$G$63,C99,'ریز گزارش ارزی'!$AO$8:$AO$63,D99,'ریز گزارش ارزی'!$AP$8:$AP$63,E99)</f>
        <v>0</v>
      </c>
      <c r="J99" s="62">
        <f>SUMIFS('ریز گزارش ارزی'!$AD$8:$AD$63,'ریز گزارش ارزی'!$AD$8:$AD$63,"&gt;0",'ریز گزارش ارزی'!$AG$8:$AG$63,"عودت قرض",'ریز گزارش ارزی'!$H$8:$H$63,F99,'ریز گزارش ارزی'!$F$8:$F$63,B99,'ریز گزارش ارزی'!$G$8:$G$63,C99,'ریز گزارش ارزی'!$AO$8:$AO$63,D99,'ریز گزارش ارزی'!$AP$8:$AP$63,E99)</f>
        <v>0</v>
      </c>
      <c r="K99" s="63">
        <f t="shared" si="50"/>
        <v>0</v>
      </c>
      <c r="L99" s="63">
        <f t="shared" si="48"/>
        <v>0</v>
      </c>
      <c r="M99" s="64">
        <f t="shared" si="51"/>
        <v>0</v>
      </c>
      <c r="N99" s="65" t="str">
        <f t="shared" si="49"/>
        <v>بی‌حساب</v>
      </c>
    </row>
    <row r="100" spans="2:14" ht="17.25" customHeight="1">
      <c r="B100" s="145" t="s">
        <v>156</v>
      </c>
      <c r="C100" s="58" t="s">
        <v>6</v>
      </c>
      <c r="D100" s="55" t="s">
        <v>9</v>
      </c>
      <c r="E100" s="56" t="s">
        <v>156</v>
      </c>
      <c r="F100" s="56" t="s">
        <v>37</v>
      </c>
      <c r="G100" s="62">
        <f>SUMIFS('ریز گزارش ارزی'!$AC$8:$AC$63,'ریز گزارش ارزی'!$AC$8:$AC$63,"&gt;0",'ریز گزارش ارزی'!$AG$8:$AG$63,"قرض",'ریز گزارش ارزی'!$H$8:$H$63,F100,'ریز گزارش ارزی'!$F$8:$F$63,B100,'ریز گزارش ارزی'!$G$8:$G$63,C100,'ریز گزارش ارزی'!$AO$8:$AO$63,D100,'ریز گزارش ارزی'!$AP$8:$AP$63,E100)</f>
        <v>0</v>
      </c>
      <c r="H100" s="62">
        <f>SUMIFS('ریز گزارش ارزی'!$AD$8:$AD$63,'ریز گزارش ارزی'!$AD$8:$AD$63,"&gt;0",'ریز گزارش ارزی'!$AG$8:$AG$63,"قرض",'ریز گزارش ارزی'!$H$8:$H$63,F100,'ریز گزارش ارزی'!$F$8:$F$63,B100,'ریز گزارش ارزی'!$G$8:$G$63,C100,'ریز گزارش ارزی'!$AO$8:$AO$63,D100,'ریز گزارش ارزی'!$AP$8:$AP$63,E100)</f>
        <v>0</v>
      </c>
      <c r="I100" s="62">
        <f>SUMIFS('ریز گزارش ارزی'!$AC$8:$AC$63,'ریز گزارش ارزی'!$AC$8:$AC$63,"&gt;0",'ریز گزارش ارزی'!$AG$8:$AG$63,"عودت قرض",'ریز گزارش ارزی'!$H$8:$H$63,F100,'ریز گزارش ارزی'!$F$8:$F$63,B100,'ریز گزارش ارزی'!$G$8:$G$63,C100,'ریز گزارش ارزی'!$AO$8:$AO$63,D100,'ریز گزارش ارزی'!$AP$8:$AP$63,E100)</f>
        <v>0</v>
      </c>
      <c r="J100" s="62">
        <f>SUMIFS('ریز گزارش ارزی'!$AD$8:$AD$63,'ریز گزارش ارزی'!$AD$8:$AD$63,"&gt;0",'ریز گزارش ارزی'!$AG$8:$AG$63,"عودت قرض",'ریز گزارش ارزی'!$H$8:$H$63,F100,'ریز گزارش ارزی'!$F$8:$F$63,B100,'ریز گزارش ارزی'!$G$8:$G$63,C100,'ریز گزارش ارزی'!$AO$8:$AO$63,D100,'ریز گزارش ارزی'!$AP$8:$AP$63,E100)</f>
        <v>0</v>
      </c>
      <c r="K100" s="63">
        <f t="shared" si="50"/>
        <v>0</v>
      </c>
      <c r="L100" s="63">
        <f t="shared" si="48"/>
        <v>0</v>
      </c>
      <c r="M100" s="64">
        <f t="shared" si="51"/>
        <v>0</v>
      </c>
      <c r="N100" s="65" t="str">
        <f t="shared" si="49"/>
        <v>بی‌حساب</v>
      </c>
    </row>
    <row r="101" spans="2:14" ht="17.25" customHeight="1">
      <c r="B101" s="145" t="s">
        <v>156</v>
      </c>
      <c r="C101" s="58" t="s">
        <v>6</v>
      </c>
      <c r="D101" s="55" t="s">
        <v>14</v>
      </c>
      <c r="E101" s="56" t="s">
        <v>156</v>
      </c>
      <c r="F101" s="56" t="s">
        <v>37</v>
      </c>
      <c r="G101" s="62">
        <f>SUMIFS('ریز گزارش ارزی'!$AC$8:$AC$63,'ریز گزارش ارزی'!$AC$8:$AC$63,"&gt;0",'ریز گزارش ارزی'!$AG$8:$AG$63,"قرض",'ریز گزارش ارزی'!$H$8:$H$63,F101,'ریز گزارش ارزی'!$F$8:$F$63,B101,'ریز گزارش ارزی'!$G$8:$G$63,C101,'ریز گزارش ارزی'!$AO$8:$AO$63,D101,'ریز گزارش ارزی'!$AP$8:$AP$63,E101)</f>
        <v>0</v>
      </c>
      <c r="H101" s="62">
        <f>SUMIFS('ریز گزارش ارزی'!$AD$8:$AD$63,'ریز گزارش ارزی'!$AD$8:$AD$63,"&gt;0",'ریز گزارش ارزی'!$AG$8:$AG$63,"قرض",'ریز گزارش ارزی'!$H$8:$H$63,F101,'ریز گزارش ارزی'!$F$8:$F$63,B101,'ریز گزارش ارزی'!$G$8:$G$63,C101,'ریز گزارش ارزی'!$AO$8:$AO$63,D101,'ریز گزارش ارزی'!$AP$8:$AP$63,E101)</f>
        <v>0</v>
      </c>
      <c r="I101" s="62">
        <f>SUMIFS('ریز گزارش ارزی'!$AC$8:$AC$63,'ریز گزارش ارزی'!$AC$8:$AC$63,"&gt;0",'ریز گزارش ارزی'!$AG$8:$AG$63,"عودت قرض",'ریز گزارش ارزی'!$H$8:$H$63,F101,'ریز گزارش ارزی'!$F$8:$F$63,B101,'ریز گزارش ارزی'!$G$8:$G$63,C101,'ریز گزارش ارزی'!$AO$8:$AO$63,D101,'ریز گزارش ارزی'!$AP$8:$AP$63,E101)</f>
        <v>0</v>
      </c>
      <c r="J101" s="62">
        <f>SUMIFS('ریز گزارش ارزی'!$AD$8:$AD$63,'ریز گزارش ارزی'!$AD$8:$AD$63,"&gt;0",'ریز گزارش ارزی'!$AG$8:$AG$63,"عودت قرض",'ریز گزارش ارزی'!$H$8:$H$63,F101,'ریز گزارش ارزی'!$F$8:$F$63,B101,'ریز گزارش ارزی'!$G$8:$G$63,C101,'ریز گزارش ارزی'!$AO$8:$AO$63,D101,'ریز گزارش ارزی'!$AP$8:$AP$63,E101)</f>
        <v>0</v>
      </c>
      <c r="K101" s="63">
        <f t="shared" si="50"/>
        <v>0</v>
      </c>
      <c r="L101" s="63">
        <f t="shared" si="48"/>
        <v>0</v>
      </c>
      <c r="M101" s="64">
        <f t="shared" si="51"/>
        <v>0</v>
      </c>
      <c r="N101" s="65" t="str">
        <f t="shared" si="49"/>
        <v>بی‌حساب</v>
      </c>
    </row>
    <row r="102" spans="2:14" ht="17.25" customHeight="1">
      <c r="B102" s="145" t="s">
        <v>156</v>
      </c>
      <c r="C102" s="58" t="s">
        <v>6</v>
      </c>
      <c r="D102" s="55" t="s">
        <v>5</v>
      </c>
      <c r="E102" s="56" t="s">
        <v>156</v>
      </c>
      <c r="F102" s="56" t="s">
        <v>37</v>
      </c>
      <c r="G102" s="62">
        <f>SUMIFS('ریز گزارش ارزی'!$AC$8:$AC$63,'ریز گزارش ارزی'!$AC$8:$AC$63,"&gt;0",'ریز گزارش ارزی'!$AG$8:$AG$63,"قرض",'ریز گزارش ارزی'!$H$8:$H$63,F102,'ریز گزارش ارزی'!$F$8:$F$63,B102,'ریز گزارش ارزی'!$G$8:$G$63,C102,'ریز گزارش ارزی'!$AO$8:$AO$63,D102,'ریز گزارش ارزی'!$AP$8:$AP$63,E102)</f>
        <v>0</v>
      </c>
      <c r="H102" s="62">
        <f>SUMIFS('ریز گزارش ارزی'!$AD$8:$AD$63,'ریز گزارش ارزی'!$AD$8:$AD$63,"&gt;0",'ریز گزارش ارزی'!$AG$8:$AG$63,"قرض",'ریز گزارش ارزی'!$H$8:$H$63,F102,'ریز گزارش ارزی'!$F$8:$F$63,B102,'ریز گزارش ارزی'!$G$8:$G$63,C102,'ریز گزارش ارزی'!$AO$8:$AO$63,D102,'ریز گزارش ارزی'!$AP$8:$AP$63,E102)</f>
        <v>0</v>
      </c>
      <c r="I102" s="62">
        <f>SUMIFS('ریز گزارش ارزی'!$AC$8:$AC$63,'ریز گزارش ارزی'!$AC$8:$AC$63,"&gt;0",'ریز گزارش ارزی'!$AG$8:$AG$63,"عودت قرض",'ریز گزارش ارزی'!$H$8:$H$63,F102,'ریز گزارش ارزی'!$F$8:$F$63,B102,'ریز گزارش ارزی'!$G$8:$G$63,C102,'ریز گزارش ارزی'!$AO$8:$AO$63,D102,'ریز گزارش ارزی'!$AP$8:$AP$63,E102)</f>
        <v>0</v>
      </c>
      <c r="J102" s="62">
        <f>SUMIFS('ریز گزارش ارزی'!$AD$8:$AD$63,'ریز گزارش ارزی'!$AD$8:$AD$63,"&gt;0",'ریز گزارش ارزی'!$AG$8:$AG$63,"عودت قرض",'ریز گزارش ارزی'!$H$8:$H$63,F102,'ریز گزارش ارزی'!$F$8:$F$63,B102,'ریز گزارش ارزی'!$G$8:$G$63,C102,'ریز گزارش ارزی'!$AO$8:$AO$63,D102,'ریز گزارش ارزی'!$AP$8:$AP$63,E102)</f>
        <v>0</v>
      </c>
      <c r="K102" s="63">
        <f t="shared" si="50"/>
        <v>0</v>
      </c>
      <c r="L102" s="63">
        <f t="shared" si="48"/>
        <v>0</v>
      </c>
      <c r="M102" s="64">
        <f t="shared" si="51"/>
        <v>0</v>
      </c>
      <c r="N102" s="65" t="str">
        <f t="shared" si="49"/>
        <v>بی‌حساب</v>
      </c>
    </row>
    <row r="103" spans="2:14" ht="17.25" customHeight="1">
      <c r="B103" s="145" t="s">
        <v>156</v>
      </c>
      <c r="C103" s="57" t="s">
        <v>0</v>
      </c>
      <c r="D103" s="144" t="s">
        <v>6</v>
      </c>
      <c r="E103" s="145" t="s">
        <v>156</v>
      </c>
      <c r="F103" s="145" t="s">
        <v>37</v>
      </c>
      <c r="G103" s="146">
        <f>SUMIFS('ریز گزارش ارزی'!$AC$8:$AC$63,'ریز گزارش ارزی'!$AC$8:$AC$63,"&gt;0",'ریز گزارش ارزی'!$AG$8:$AG$63,"قرض",'ریز گزارش ارزی'!$H$8:$H$63,F103,'ریز گزارش ارزی'!$F$8:$F$63,B103,'ریز گزارش ارزی'!$G$8:$G$63,C103,'ریز گزارش ارزی'!$AO$8:$AO$63,D103,'ریز گزارش ارزی'!$AP$8:$AP$63,E103)</f>
        <v>0</v>
      </c>
      <c r="H103" s="146">
        <f>SUMIFS('ریز گزارش ارزی'!$AD$8:$AD$63,'ریز گزارش ارزی'!$AD$8:$AD$63,"&gt;0",'ریز گزارش ارزی'!$AG$8:$AG$63,"قرض",'ریز گزارش ارزی'!$H$8:$H$63,F103,'ریز گزارش ارزی'!$F$8:$F$63,B103,'ریز گزارش ارزی'!$G$8:$G$63,C103,'ریز گزارش ارزی'!$AO$8:$AO$63,D103,'ریز گزارش ارزی'!$AP$8:$AP$63,E103)</f>
        <v>0</v>
      </c>
      <c r="I103" s="146">
        <f>SUMIFS('ریز گزارش ارزی'!$AC$8:$AC$63,'ریز گزارش ارزی'!$AC$8:$AC$63,"&gt;0",'ریز گزارش ارزی'!$AG$8:$AG$63,"عودت قرض",'ریز گزارش ارزی'!$H$8:$H$63,F103,'ریز گزارش ارزی'!$F$8:$F$63,B103,'ریز گزارش ارزی'!$G$8:$G$63,C103,'ریز گزارش ارزی'!$AO$8:$AO$63,D103,'ریز گزارش ارزی'!$AP$8:$AP$63,E103)</f>
        <v>0</v>
      </c>
      <c r="J103" s="146">
        <f>SUMIFS('ریز گزارش ارزی'!$AD$8:$AD$63,'ریز گزارش ارزی'!$AD$8:$AD$63,"&gt;0",'ریز گزارش ارزی'!$AG$8:$AG$63,"عودت قرض",'ریز گزارش ارزی'!$H$8:$H$63,F103,'ریز گزارش ارزی'!$F$8:$F$63,B103,'ریز گزارش ارزی'!$G$8:$G$63,C103,'ریز گزارش ارزی'!$AO$8:$AO$63,D103,'ریز گزارش ارزی'!$AP$8:$AP$63,E103)</f>
        <v>0</v>
      </c>
      <c r="K103" s="63">
        <f t="shared" si="50"/>
        <v>0</v>
      </c>
      <c r="L103" s="63">
        <f t="shared" si="48"/>
        <v>0</v>
      </c>
      <c r="M103" s="64">
        <f t="shared" si="51"/>
        <v>0</v>
      </c>
      <c r="N103" s="65" t="str">
        <f t="shared" si="49"/>
        <v>بی‌حساب</v>
      </c>
    </row>
    <row r="104" spans="2:14" ht="17.25" customHeight="1">
      <c r="B104" s="145" t="s">
        <v>156</v>
      </c>
      <c r="C104" s="57" t="s">
        <v>0</v>
      </c>
      <c r="D104" s="144" t="s">
        <v>1</v>
      </c>
      <c r="E104" s="145" t="s">
        <v>156</v>
      </c>
      <c r="F104" s="145" t="s">
        <v>37</v>
      </c>
      <c r="G104" s="146">
        <f>SUMIFS('ریز گزارش ارزی'!$AC$8:$AC$63,'ریز گزارش ارزی'!$AC$8:$AC$63,"&gt;0",'ریز گزارش ارزی'!$AG$8:$AG$63,"قرض",'ریز گزارش ارزی'!$H$8:$H$63,F104,'ریز گزارش ارزی'!$F$8:$F$63,B104,'ریز گزارش ارزی'!$G$8:$G$63,C104,'ریز گزارش ارزی'!$AO$8:$AO$63,D104,'ریز گزارش ارزی'!$AP$8:$AP$63,E104)</f>
        <v>0</v>
      </c>
      <c r="H104" s="146">
        <f>SUMIFS('ریز گزارش ارزی'!$AD$8:$AD$63,'ریز گزارش ارزی'!$AD$8:$AD$63,"&gt;0",'ریز گزارش ارزی'!$AG$8:$AG$63,"قرض",'ریز گزارش ارزی'!$H$8:$H$63,F104,'ریز گزارش ارزی'!$F$8:$F$63,B104,'ریز گزارش ارزی'!$G$8:$G$63,C104,'ریز گزارش ارزی'!$AO$8:$AO$63,D104,'ریز گزارش ارزی'!$AP$8:$AP$63,E104)</f>
        <v>170</v>
      </c>
      <c r="I104" s="146">
        <f>SUMIFS('ریز گزارش ارزی'!$AC$8:$AC$63,'ریز گزارش ارزی'!$AC$8:$AC$63,"&gt;0",'ریز گزارش ارزی'!$AG$8:$AG$63,"عودت قرض",'ریز گزارش ارزی'!$H$8:$H$63,F104,'ریز گزارش ارزی'!$F$8:$F$63,B104,'ریز گزارش ارزی'!$G$8:$G$63,C104,'ریز گزارش ارزی'!$AO$8:$AO$63,D104,'ریز گزارش ارزی'!$AP$8:$AP$63,E104)</f>
        <v>0</v>
      </c>
      <c r="J104" s="146">
        <f>SUMIFS('ریز گزارش ارزی'!$AD$8:$AD$63,'ریز گزارش ارزی'!$AD$8:$AD$63,"&gt;0",'ریز گزارش ارزی'!$AG$8:$AG$63,"عودت قرض",'ریز گزارش ارزی'!$H$8:$H$63,F104,'ریز گزارش ارزی'!$F$8:$F$63,B104,'ریز گزارش ارزی'!$G$8:$G$63,C104,'ریز گزارش ارزی'!$AO$8:$AO$63,D104,'ریز گزارش ارزی'!$AP$8:$AP$63,E104)</f>
        <v>0</v>
      </c>
      <c r="K104" s="63">
        <f t="shared" si="50"/>
        <v>170</v>
      </c>
      <c r="L104" s="63">
        <f t="shared" si="48"/>
        <v>0</v>
      </c>
      <c r="M104" s="64">
        <f t="shared" si="51"/>
        <v>170</v>
      </c>
      <c r="N104" s="65" t="str">
        <f t="shared" si="49"/>
        <v>طلبکار</v>
      </c>
    </row>
    <row r="105" spans="2:14" ht="17.25" customHeight="1">
      <c r="B105" s="145" t="s">
        <v>156</v>
      </c>
      <c r="C105" s="57" t="s">
        <v>0</v>
      </c>
      <c r="D105" s="144" t="s">
        <v>3</v>
      </c>
      <c r="E105" s="145" t="s">
        <v>156</v>
      </c>
      <c r="F105" s="145" t="s">
        <v>37</v>
      </c>
      <c r="G105" s="146">
        <f>SUMIFS('ریز گزارش ارزی'!$AC$8:$AC$63,'ریز گزارش ارزی'!$AC$8:$AC$63,"&gt;0",'ریز گزارش ارزی'!$AG$8:$AG$63,"قرض",'ریز گزارش ارزی'!$H$8:$H$63,F105,'ریز گزارش ارزی'!$F$8:$F$63,B105,'ریز گزارش ارزی'!$G$8:$G$63,C105,'ریز گزارش ارزی'!$AO$8:$AO$63,D105,'ریز گزارش ارزی'!$AP$8:$AP$63,E105)</f>
        <v>0</v>
      </c>
      <c r="H105" s="146">
        <f>SUMIFS('ریز گزارش ارزی'!$AD$8:$AD$63,'ریز گزارش ارزی'!$AD$8:$AD$63,"&gt;0",'ریز گزارش ارزی'!$AG$8:$AG$63,"قرض",'ریز گزارش ارزی'!$H$8:$H$63,F105,'ریز گزارش ارزی'!$F$8:$F$63,B105,'ریز گزارش ارزی'!$G$8:$G$63,C105,'ریز گزارش ارزی'!$AO$8:$AO$63,D105,'ریز گزارش ارزی'!$AP$8:$AP$63,E105)</f>
        <v>0</v>
      </c>
      <c r="I105" s="146">
        <f>SUMIFS('ریز گزارش ارزی'!$AC$8:$AC$63,'ریز گزارش ارزی'!$AC$8:$AC$63,"&gt;0",'ریز گزارش ارزی'!$AG$8:$AG$63,"عودت قرض",'ریز گزارش ارزی'!$H$8:$H$63,F105,'ریز گزارش ارزی'!$F$8:$F$63,B105,'ریز گزارش ارزی'!$G$8:$G$63,C105,'ریز گزارش ارزی'!$AO$8:$AO$63,D105,'ریز گزارش ارزی'!$AP$8:$AP$63,E105)</f>
        <v>0</v>
      </c>
      <c r="J105" s="146">
        <f>SUMIFS('ریز گزارش ارزی'!$AD$8:$AD$63,'ریز گزارش ارزی'!$AD$8:$AD$63,"&gt;0",'ریز گزارش ارزی'!$AG$8:$AG$63,"عودت قرض",'ریز گزارش ارزی'!$H$8:$H$63,F105,'ریز گزارش ارزی'!$F$8:$F$63,B105,'ریز گزارش ارزی'!$G$8:$G$63,C105,'ریز گزارش ارزی'!$AO$8:$AO$63,D105,'ریز گزارش ارزی'!$AP$8:$AP$63,E105)</f>
        <v>0</v>
      </c>
      <c r="K105" s="63">
        <f t="shared" si="50"/>
        <v>0</v>
      </c>
      <c r="L105" s="63">
        <f t="shared" si="48"/>
        <v>0</v>
      </c>
      <c r="M105" s="64">
        <f t="shared" si="51"/>
        <v>0</v>
      </c>
      <c r="N105" s="65" t="str">
        <f t="shared" si="49"/>
        <v>بی‌حساب</v>
      </c>
    </row>
    <row r="106" spans="2:14" ht="17.25" customHeight="1">
      <c r="B106" s="145" t="s">
        <v>156</v>
      </c>
      <c r="C106" s="57" t="s">
        <v>0</v>
      </c>
      <c r="D106" s="144" t="s">
        <v>9</v>
      </c>
      <c r="E106" s="145" t="s">
        <v>156</v>
      </c>
      <c r="F106" s="145" t="s">
        <v>37</v>
      </c>
      <c r="G106" s="146">
        <f>SUMIFS('ریز گزارش ارزی'!$AC$8:$AC$63,'ریز گزارش ارزی'!$AC$8:$AC$63,"&gt;0",'ریز گزارش ارزی'!$AG$8:$AG$63,"قرض",'ریز گزارش ارزی'!$H$8:$H$63,F106,'ریز گزارش ارزی'!$F$8:$F$63,B106,'ریز گزارش ارزی'!$G$8:$G$63,C106,'ریز گزارش ارزی'!$AO$8:$AO$63,D106,'ریز گزارش ارزی'!$AP$8:$AP$63,E106)</f>
        <v>0</v>
      </c>
      <c r="H106" s="146">
        <f>SUMIFS('ریز گزارش ارزی'!$AD$8:$AD$63,'ریز گزارش ارزی'!$AD$8:$AD$63,"&gt;0",'ریز گزارش ارزی'!$AG$8:$AG$63,"قرض",'ریز گزارش ارزی'!$H$8:$H$63,F106,'ریز گزارش ارزی'!$F$8:$F$63,B106,'ریز گزارش ارزی'!$G$8:$G$63,C106,'ریز گزارش ارزی'!$AO$8:$AO$63,D106,'ریز گزارش ارزی'!$AP$8:$AP$63,E106)</f>
        <v>0</v>
      </c>
      <c r="I106" s="146">
        <f>SUMIFS('ریز گزارش ارزی'!$AC$8:$AC$63,'ریز گزارش ارزی'!$AC$8:$AC$63,"&gt;0",'ریز گزارش ارزی'!$AG$8:$AG$63,"عودت قرض",'ریز گزارش ارزی'!$H$8:$H$63,F106,'ریز گزارش ارزی'!$F$8:$F$63,B106,'ریز گزارش ارزی'!$G$8:$G$63,C106,'ریز گزارش ارزی'!$AO$8:$AO$63,D106,'ریز گزارش ارزی'!$AP$8:$AP$63,E106)</f>
        <v>0</v>
      </c>
      <c r="J106" s="146">
        <f>SUMIFS('ریز گزارش ارزی'!$AD$8:$AD$63,'ریز گزارش ارزی'!$AD$8:$AD$63,"&gt;0",'ریز گزارش ارزی'!$AG$8:$AG$63,"عودت قرض",'ریز گزارش ارزی'!$H$8:$H$63,F106,'ریز گزارش ارزی'!$F$8:$F$63,B106,'ریز گزارش ارزی'!$G$8:$G$63,C106,'ریز گزارش ارزی'!$AO$8:$AO$63,D106,'ریز گزارش ارزی'!$AP$8:$AP$63,E106)</f>
        <v>0</v>
      </c>
      <c r="K106" s="63">
        <f t="shared" si="50"/>
        <v>0</v>
      </c>
      <c r="L106" s="63">
        <f t="shared" si="48"/>
        <v>0</v>
      </c>
      <c r="M106" s="64">
        <f t="shared" si="51"/>
        <v>0</v>
      </c>
      <c r="N106" s="65" t="str">
        <f t="shared" si="49"/>
        <v>بی‌حساب</v>
      </c>
    </row>
    <row r="107" spans="2:14" ht="17.25" customHeight="1">
      <c r="B107" s="145" t="s">
        <v>156</v>
      </c>
      <c r="C107" s="57" t="s">
        <v>0</v>
      </c>
      <c r="D107" s="144" t="s">
        <v>14</v>
      </c>
      <c r="E107" s="145" t="s">
        <v>156</v>
      </c>
      <c r="F107" s="145" t="s">
        <v>37</v>
      </c>
      <c r="G107" s="146">
        <f>SUMIFS('ریز گزارش ارزی'!$AC$8:$AC$63,'ریز گزارش ارزی'!$AC$8:$AC$63,"&gt;0",'ریز گزارش ارزی'!$AG$8:$AG$63,"قرض",'ریز گزارش ارزی'!$H$8:$H$63,F107,'ریز گزارش ارزی'!$F$8:$F$63,B107,'ریز گزارش ارزی'!$G$8:$G$63,C107,'ریز گزارش ارزی'!$AO$8:$AO$63,D107,'ریز گزارش ارزی'!$AP$8:$AP$63,E107)</f>
        <v>0</v>
      </c>
      <c r="H107" s="146">
        <f>SUMIFS('ریز گزارش ارزی'!$AD$8:$AD$63,'ریز گزارش ارزی'!$AD$8:$AD$63,"&gt;0",'ریز گزارش ارزی'!$AG$8:$AG$63,"قرض",'ریز گزارش ارزی'!$H$8:$H$63,F107,'ریز گزارش ارزی'!$F$8:$F$63,B107,'ریز گزارش ارزی'!$G$8:$G$63,C107,'ریز گزارش ارزی'!$AO$8:$AO$63,D107,'ریز گزارش ارزی'!$AP$8:$AP$63,E107)</f>
        <v>0</v>
      </c>
      <c r="I107" s="146">
        <f>SUMIFS('ریز گزارش ارزی'!$AC$8:$AC$63,'ریز گزارش ارزی'!$AC$8:$AC$63,"&gt;0",'ریز گزارش ارزی'!$AG$8:$AG$63,"عودت قرض",'ریز گزارش ارزی'!$H$8:$H$63,F107,'ریز گزارش ارزی'!$F$8:$F$63,B107,'ریز گزارش ارزی'!$G$8:$G$63,C107,'ریز گزارش ارزی'!$AO$8:$AO$63,D107,'ریز گزارش ارزی'!$AP$8:$AP$63,E107)</f>
        <v>0</v>
      </c>
      <c r="J107" s="146">
        <f>SUMIFS('ریز گزارش ارزی'!$AD$8:$AD$63,'ریز گزارش ارزی'!$AD$8:$AD$63,"&gt;0",'ریز گزارش ارزی'!$AG$8:$AG$63,"عودت قرض",'ریز گزارش ارزی'!$H$8:$H$63,F107,'ریز گزارش ارزی'!$F$8:$F$63,B107,'ریز گزارش ارزی'!$G$8:$G$63,C107,'ریز گزارش ارزی'!$AO$8:$AO$63,D107,'ریز گزارش ارزی'!$AP$8:$AP$63,E107)</f>
        <v>0</v>
      </c>
      <c r="K107" s="63">
        <f t="shared" si="50"/>
        <v>0</v>
      </c>
      <c r="L107" s="63">
        <f t="shared" si="48"/>
        <v>0</v>
      </c>
      <c r="M107" s="64">
        <f t="shared" si="51"/>
        <v>0</v>
      </c>
      <c r="N107" s="65" t="str">
        <f t="shared" si="49"/>
        <v>بی‌حساب</v>
      </c>
    </row>
    <row r="108" spans="2:14" ht="17.25" customHeight="1">
      <c r="B108" s="145" t="s">
        <v>156</v>
      </c>
      <c r="C108" s="57" t="s">
        <v>0</v>
      </c>
      <c r="D108" s="144" t="s">
        <v>5</v>
      </c>
      <c r="E108" s="145" t="s">
        <v>156</v>
      </c>
      <c r="F108" s="145" t="s">
        <v>37</v>
      </c>
      <c r="G108" s="146">
        <f>SUMIFS('ریز گزارش ارزی'!$AC$8:$AC$63,'ریز گزارش ارزی'!$AC$8:$AC$63,"&gt;0",'ریز گزارش ارزی'!$AG$8:$AG$63,"قرض",'ریز گزارش ارزی'!$H$8:$H$63,F108,'ریز گزارش ارزی'!$F$8:$F$63,B108,'ریز گزارش ارزی'!$G$8:$G$63,C108,'ریز گزارش ارزی'!$AO$8:$AO$63,D108,'ریز گزارش ارزی'!$AP$8:$AP$63,E108)</f>
        <v>0</v>
      </c>
      <c r="H108" s="146">
        <f>SUMIFS('ریز گزارش ارزی'!$AD$8:$AD$63,'ریز گزارش ارزی'!$AD$8:$AD$63,"&gt;0",'ریز گزارش ارزی'!$AG$8:$AG$63,"قرض",'ریز گزارش ارزی'!$H$8:$H$63,F108,'ریز گزارش ارزی'!$F$8:$F$63,B108,'ریز گزارش ارزی'!$G$8:$G$63,C108,'ریز گزارش ارزی'!$AO$8:$AO$63,D108,'ریز گزارش ارزی'!$AP$8:$AP$63,E108)</f>
        <v>0</v>
      </c>
      <c r="I108" s="146">
        <f>SUMIFS('ریز گزارش ارزی'!$AC$8:$AC$63,'ریز گزارش ارزی'!$AC$8:$AC$63,"&gt;0",'ریز گزارش ارزی'!$AG$8:$AG$63,"عودت قرض",'ریز گزارش ارزی'!$H$8:$H$63,F108,'ریز گزارش ارزی'!$F$8:$F$63,B108,'ریز گزارش ارزی'!$G$8:$G$63,C108,'ریز گزارش ارزی'!$AO$8:$AO$63,D108,'ریز گزارش ارزی'!$AP$8:$AP$63,E108)</f>
        <v>0</v>
      </c>
      <c r="J108" s="146">
        <f>SUMIFS('ریز گزارش ارزی'!$AD$8:$AD$63,'ریز گزارش ارزی'!$AD$8:$AD$63,"&gt;0",'ریز گزارش ارزی'!$AG$8:$AG$63,"عودت قرض",'ریز گزارش ارزی'!$H$8:$H$63,F108,'ریز گزارش ارزی'!$F$8:$F$63,B108,'ریز گزارش ارزی'!$G$8:$G$63,C108,'ریز گزارش ارزی'!$AO$8:$AO$63,D108,'ریز گزارش ارزی'!$AP$8:$AP$63,E108)</f>
        <v>0</v>
      </c>
      <c r="K108" s="63">
        <f t="shared" si="50"/>
        <v>0</v>
      </c>
      <c r="L108" s="63">
        <f t="shared" si="48"/>
        <v>0</v>
      </c>
      <c r="M108" s="64">
        <f t="shared" si="51"/>
        <v>0</v>
      </c>
      <c r="N108" s="65" t="str">
        <f t="shared" si="49"/>
        <v>بی‌حساب</v>
      </c>
    </row>
    <row r="109" spans="2:14" ht="17.25" customHeight="1">
      <c r="B109" s="145" t="s">
        <v>156</v>
      </c>
      <c r="C109" s="54" t="s">
        <v>1</v>
      </c>
      <c r="D109" s="55" t="s">
        <v>6</v>
      </c>
      <c r="E109" s="56" t="s">
        <v>156</v>
      </c>
      <c r="F109" s="56" t="s">
        <v>37</v>
      </c>
      <c r="G109" s="62">
        <f>SUMIFS('ریز گزارش ارزی'!$AC$8:$AC$63,'ریز گزارش ارزی'!$AC$8:$AC$63,"&gt;0",'ریز گزارش ارزی'!$AG$8:$AG$63,"قرض",'ریز گزارش ارزی'!$H$8:$H$63,F109,'ریز گزارش ارزی'!$F$8:$F$63,B109,'ریز گزارش ارزی'!$G$8:$G$63,C109,'ریز گزارش ارزی'!$AO$8:$AO$63,D109,'ریز گزارش ارزی'!$AP$8:$AP$63,E109)</f>
        <v>0</v>
      </c>
      <c r="H109" s="62">
        <f>SUMIFS('ریز گزارش ارزی'!$AD$8:$AD$63,'ریز گزارش ارزی'!$AD$8:$AD$63,"&gt;0",'ریز گزارش ارزی'!$AG$8:$AG$63,"قرض",'ریز گزارش ارزی'!$H$8:$H$63,F109,'ریز گزارش ارزی'!$F$8:$F$63,B109,'ریز گزارش ارزی'!$G$8:$G$63,C109,'ریز گزارش ارزی'!$AO$8:$AO$63,D109,'ریز گزارش ارزی'!$AP$8:$AP$63,E109)</f>
        <v>0</v>
      </c>
      <c r="I109" s="62">
        <f>SUMIFS('ریز گزارش ارزی'!$AC$8:$AC$63,'ریز گزارش ارزی'!$AC$8:$AC$63,"&gt;0",'ریز گزارش ارزی'!$AG$8:$AG$63,"عودت قرض",'ریز گزارش ارزی'!$H$8:$H$63,F109,'ریز گزارش ارزی'!$F$8:$F$63,B109,'ریز گزارش ارزی'!$G$8:$G$63,C109,'ریز گزارش ارزی'!$AO$8:$AO$63,D109,'ریز گزارش ارزی'!$AP$8:$AP$63,E109)</f>
        <v>0</v>
      </c>
      <c r="J109" s="62">
        <f>SUMIFS('ریز گزارش ارزی'!$AD$8:$AD$63,'ریز گزارش ارزی'!$AD$8:$AD$63,"&gt;0",'ریز گزارش ارزی'!$AG$8:$AG$63,"عودت قرض",'ریز گزارش ارزی'!$H$8:$H$63,F109,'ریز گزارش ارزی'!$F$8:$F$63,B109,'ریز گزارش ارزی'!$G$8:$G$63,C109,'ریز گزارش ارزی'!$AO$8:$AO$63,D109,'ریز گزارش ارزی'!$AP$8:$AP$63,E109)</f>
        <v>0</v>
      </c>
      <c r="K109" s="63">
        <f t="shared" si="50"/>
        <v>0</v>
      </c>
      <c r="L109" s="63">
        <f t="shared" si="48"/>
        <v>0</v>
      </c>
      <c r="M109" s="64">
        <f t="shared" si="51"/>
        <v>0</v>
      </c>
      <c r="N109" s="65" t="str">
        <f t="shared" si="49"/>
        <v>بی‌حساب</v>
      </c>
    </row>
    <row r="110" spans="2:14" ht="17.25" customHeight="1">
      <c r="B110" s="145" t="s">
        <v>156</v>
      </c>
      <c r="C110" s="54" t="s">
        <v>1</v>
      </c>
      <c r="D110" s="55" t="s">
        <v>0</v>
      </c>
      <c r="E110" s="56" t="s">
        <v>156</v>
      </c>
      <c r="F110" s="56" t="s">
        <v>37</v>
      </c>
      <c r="G110" s="62">
        <f>SUMIFS('ریز گزارش ارزی'!$AC$8:$AC$63,'ریز گزارش ارزی'!$AC$8:$AC$63,"&gt;0",'ریز گزارش ارزی'!$AG$8:$AG$63,"قرض",'ریز گزارش ارزی'!$H$8:$H$63,F110,'ریز گزارش ارزی'!$F$8:$F$63,B110,'ریز گزارش ارزی'!$G$8:$G$63,C110,'ریز گزارش ارزی'!$AO$8:$AO$63,D110,'ریز گزارش ارزی'!$AP$8:$AP$63,E110)</f>
        <v>170</v>
      </c>
      <c r="H110" s="62">
        <f>SUMIFS('ریز گزارش ارزی'!$AD$8:$AD$63,'ریز گزارش ارزی'!$AD$8:$AD$63,"&gt;0",'ریز گزارش ارزی'!$AG$8:$AG$63,"قرض",'ریز گزارش ارزی'!$H$8:$H$63,F110,'ریز گزارش ارزی'!$F$8:$F$63,B110,'ریز گزارش ارزی'!$G$8:$G$63,C110,'ریز گزارش ارزی'!$AO$8:$AO$63,D110,'ریز گزارش ارزی'!$AP$8:$AP$63,E110)</f>
        <v>0</v>
      </c>
      <c r="I110" s="62">
        <f>SUMIFS('ریز گزارش ارزی'!$AC$8:$AC$63,'ریز گزارش ارزی'!$AC$8:$AC$63,"&gt;0",'ریز گزارش ارزی'!$AG$8:$AG$63,"عودت قرض",'ریز گزارش ارزی'!$H$8:$H$63,F110,'ریز گزارش ارزی'!$F$8:$F$63,B110,'ریز گزارش ارزی'!$G$8:$G$63,C110,'ریز گزارش ارزی'!$AO$8:$AO$63,D110,'ریز گزارش ارزی'!$AP$8:$AP$63,E110)</f>
        <v>0</v>
      </c>
      <c r="J110" s="62">
        <f>SUMIFS('ریز گزارش ارزی'!$AD$8:$AD$63,'ریز گزارش ارزی'!$AD$8:$AD$63,"&gt;0",'ریز گزارش ارزی'!$AG$8:$AG$63,"عودت قرض",'ریز گزارش ارزی'!$H$8:$H$63,F110,'ریز گزارش ارزی'!$F$8:$F$63,B110,'ریز گزارش ارزی'!$G$8:$G$63,C110,'ریز گزارش ارزی'!$AO$8:$AO$63,D110,'ریز گزارش ارزی'!$AP$8:$AP$63,E110)</f>
        <v>0</v>
      </c>
      <c r="K110" s="63">
        <f t="shared" si="50"/>
        <v>0</v>
      </c>
      <c r="L110" s="63">
        <f t="shared" si="48"/>
        <v>170</v>
      </c>
      <c r="M110" s="64">
        <f t="shared" si="51"/>
        <v>-170</v>
      </c>
      <c r="N110" s="65" t="str">
        <f t="shared" si="49"/>
        <v>بدهکار</v>
      </c>
    </row>
    <row r="111" spans="2:14" ht="17.25" customHeight="1">
      <c r="B111" s="145" t="s">
        <v>156</v>
      </c>
      <c r="C111" s="54" t="s">
        <v>1</v>
      </c>
      <c r="D111" s="55" t="s">
        <v>3</v>
      </c>
      <c r="E111" s="56" t="s">
        <v>156</v>
      </c>
      <c r="F111" s="56" t="s">
        <v>37</v>
      </c>
      <c r="G111" s="62">
        <f>SUMIFS('ریز گزارش ارزی'!$AC$8:$AC$63,'ریز گزارش ارزی'!$AC$8:$AC$63,"&gt;0",'ریز گزارش ارزی'!$AG$8:$AG$63,"قرض",'ریز گزارش ارزی'!$H$8:$H$63,F111,'ریز گزارش ارزی'!$F$8:$F$63,B111,'ریز گزارش ارزی'!$G$8:$G$63,C111,'ریز گزارش ارزی'!$AO$8:$AO$63,D111,'ریز گزارش ارزی'!$AP$8:$AP$63,E111)</f>
        <v>0</v>
      </c>
      <c r="H111" s="62">
        <f>SUMIFS('ریز گزارش ارزی'!$AD$8:$AD$63,'ریز گزارش ارزی'!$AD$8:$AD$63,"&gt;0",'ریز گزارش ارزی'!$AG$8:$AG$63,"قرض",'ریز گزارش ارزی'!$H$8:$H$63,F111,'ریز گزارش ارزی'!$F$8:$F$63,B111,'ریز گزارش ارزی'!$G$8:$G$63,C111,'ریز گزارش ارزی'!$AO$8:$AO$63,D111,'ریز گزارش ارزی'!$AP$8:$AP$63,E111)</f>
        <v>0</v>
      </c>
      <c r="I111" s="62">
        <f>SUMIFS('ریز گزارش ارزی'!$AC$8:$AC$63,'ریز گزارش ارزی'!$AC$8:$AC$63,"&gt;0",'ریز گزارش ارزی'!$AG$8:$AG$63,"عودت قرض",'ریز گزارش ارزی'!$H$8:$H$63,F111,'ریز گزارش ارزی'!$F$8:$F$63,B111,'ریز گزارش ارزی'!$G$8:$G$63,C111,'ریز گزارش ارزی'!$AO$8:$AO$63,D111,'ریز گزارش ارزی'!$AP$8:$AP$63,E111)</f>
        <v>0</v>
      </c>
      <c r="J111" s="62">
        <f>SUMIFS('ریز گزارش ارزی'!$AD$8:$AD$63,'ریز گزارش ارزی'!$AD$8:$AD$63,"&gt;0",'ریز گزارش ارزی'!$AG$8:$AG$63,"عودت قرض",'ریز گزارش ارزی'!$H$8:$H$63,F111,'ریز گزارش ارزی'!$F$8:$F$63,B111,'ریز گزارش ارزی'!$G$8:$G$63,C111,'ریز گزارش ارزی'!$AO$8:$AO$63,D111,'ریز گزارش ارزی'!$AP$8:$AP$63,E111)</f>
        <v>0</v>
      </c>
      <c r="K111" s="63">
        <f t="shared" si="50"/>
        <v>0</v>
      </c>
      <c r="L111" s="63">
        <f t="shared" si="48"/>
        <v>0</v>
      </c>
      <c r="M111" s="64">
        <f t="shared" si="51"/>
        <v>0</v>
      </c>
      <c r="N111" s="65" t="str">
        <f t="shared" si="49"/>
        <v>بی‌حساب</v>
      </c>
    </row>
    <row r="112" spans="2:14" ht="17.25" customHeight="1">
      <c r="B112" s="145" t="s">
        <v>156</v>
      </c>
      <c r="C112" s="54" t="s">
        <v>1</v>
      </c>
      <c r="D112" s="55" t="s">
        <v>9</v>
      </c>
      <c r="E112" s="56" t="s">
        <v>156</v>
      </c>
      <c r="F112" s="56" t="s">
        <v>37</v>
      </c>
      <c r="G112" s="62">
        <f>SUMIFS('ریز گزارش ارزی'!$AC$8:$AC$63,'ریز گزارش ارزی'!$AC$8:$AC$63,"&gt;0",'ریز گزارش ارزی'!$AG$8:$AG$63,"قرض",'ریز گزارش ارزی'!$H$8:$H$63,F112,'ریز گزارش ارزی'!$F$8:$F$63,B112,'ریز گزارش ارزی'!$G$8:$G$63,C112,'ریز گزارش ارزی'!$AO$8:$AO$63,D112,'ریز گزارش ارزی'!$AP$8:$AP$63,E112)</f>
        <v>0</v>
      </c>
      <c r="H112" s="62">
        <f>SUMIFS('ریز گزارش ارزی'!$AD$8:$AD$63,'ریز گزارش ارزی'!$AD$8:$AD$63,"&gt;0",'ریز گزارش ارزی'!$AG$8:$AG$63,"قرض",'ریز گزارش ارزی'!$H$8:$H$63,F112,'ریز گزارش ارزی'!$F$8:$F$63,B112,'ریز گزارش ارزی'!$G$8:$G$63,C112,'ریز گزارش ارزی'!$AO$8:$AO$63,D112,'ریز گزارش ارزی'!$AP$8:$AP$63,E112)</f>
        <v>0</v>
      </c>
      <c r="I112" s="62">
        <f>SUMIFS('ریز گزارش ارزی'!$AC$8:$AC$63,'ریز گزارش ارزی'!$AC$8:$AC$63,"&gt;0",'ریز گزارش ارزی'!$AG$8:$AG$63,"عودت قرض",'ریز گزارش ارزی'!$H$8:$H$63,F112,'ریز گزارش ارزی'!$F$8:$F$63,B112,'ریز گزارش ارزی'!$G$8:$G$63,C112,'ریز گزارش ارزی'!$AO$8:$AO$63,D112,'ریز گزارش ارزی'!$AP$8:$AP$63,E112)</f>
        <v>0</v>
      </c>
      <c r="J112" s="62">
        <f>SUMIFS('ریز گزارش ارزی'!$AD$8:$AD$63,'ریز گزارش ارزی'!$AD$8:$AD$63,"&gt;0",'ریز گزارش ارزی'!$AG$8:$AG$63,"عودت قرض",'ریز گزارش ارزی'!$H$8:$H$63,F112,'ریز گزارش ارزی'!$F$8:$F$63,B112,'ریز گزارش ارزی'!$G$8:$G$63,C112,'ریز گزارش ارزی'!$AO$8:$AO$63,D112,'ریز گزارش ارزی'!$AP$8:$AP$63,E112)</f>
        <v>0</v>
      </c>
      <c r="K112" s="63">
        <f t="shared" si="50"/>
        <v>0</v>
      </c>
      <c r="L112" s="63">
        <f t="shared" si="48"/>
        <v>0</v>
      </c>
      <c r="M112" s="64">
        <f t="shared" si="51"/>
        <v>0</v>
      </c>
      <c r="N112" s="65" t="str">
        <f t="shared" si="49"/>
        <v>بی‌حساب</v>
      </c>
    </row>
    <row r="113" spans="2:14" ht="17.25" customHeight="1">
      <c r="B113" s="145" t="s">
        <v>156</v>
      </c>
      <c r="C113" s="54" t="s">
        <v>1</v>
      </c>
      <c r="D113" s="55" t="s">
        <v>14</v>
      </c>
      <c r="E113" s="56" t="s">
        <v>156</v>
      </c>
      <c r="F113" s="56" t="s">
        <v>37</v>
      </c>
      <c r="G113" s="62">
        <f>SUMIFS('ریز گزارش ارزی'!$AC$8:$AC$63,'ریز گزارش ارزی'!$AC$8:$AC$63,"&gt;0",'ریز گزارش ارزی'!$AG$8:$AG$63,"قرض",'ریز گزارش ارزی'!$H$8:$H$63,F113,'ریز گزارش ارزی'!$F$8:$F$63,B113,'ریز گزارش ارزی'!$G$8:$G$63,C113,'ریز گزارش ارزی'!$AO$8:$AO$63,D113,'ریز گزارش ارزی'!$AP$8:$AP$63,E113)</f>
        <v>0</v>
      </c>
      <c r="H113" s="62">
        <f>SUMIFS('ریز گزارش ارزی'!$AD$8:$AD$63,'ریز گزارش ارزی'!$AD$8:$AD$63,"&gt;0",'ریز گزارش ارزی'!$AG$8:$AG$63,"قرض",'ریز گزارش ارزی'!$H$8:$H$63,F113,'ریز گزارش ارزی'!$F$8:$F$63,B113,'ریز گزارش ارزی'!$G$8:$G$63,C113,'ریز گزارش ارزی'!$AO$8:$AO$63,D113,'ریز گزارش ارزی'!$AP$8:$AP$63,E113)</f>
        <v>0</v>
      </c>
      <c r="I113" s="62">
        <f>SUMIFS('ریز گزارش ارزی'!$AC$8:$AC$63,'ریز گزارش ارزی'!$AC$8:$AC$63,"&gt;0",'ریز گزارش ارزی'!$AG$8:$AG$63,"عودت قرض",'ریز گزارش ارزی'!$H$8:$H$63,F113,'ریز گزارش ارزی'!$F$8:$F$63,B113,'ریز گزارش ارزی'!$G$8:$G$63,C113,'ریز گزارش ارزی'!$AO$8:$AO$63,D113,'ریز گزارش ارزی'!$AP$8:$AP$63,E113)</f>
        <v>0</v>
      </c>
      <c r="J113" s="62">
        <f>SUMIFS('ریز گزارش ارزی'!$AD$8:$AD$63,'ریز گزارش ارزی'!$AD$8:$AD$63,"&gt;0",'ریز گزارش ارزی'!$AG$8:$AG$63,"عودت قرض",'ریز گزارش ارزی'!$H$8:$H$63,F113,'ریز گزارش ارزی'!$F$8:$F$63,B113,'ریز گزارش ارزی'!$G$8:$G$63,C113,'ریز گزارش ارزی'!$AO$8:$AO$63,D113,'ریز گزارش ارزی'!$AP$8:$AP$63,E113)</f>
        <v>0</v>
      </c>
      <c r="K113" s="63">
        <f t="shared" si="50"/>
        <v>0</v>
      </c>
      <c r="L113" s="63">
        <f t="shared" si="48"/>
        <v>0</v>
      </c>
      <c r="M113" s="64">
        <f t="shared" si="51"/>
        <v>0</v>
      </c>
      <c r="N113" s="65" t="str">
        <f t="shared" si="49"/>
        <v>بی‌حساب</v>
      </c>
    </row>
    <row r="114" spans="2:14" ht="17.25" customHeight="1">
      <c r="B114" s="145" t="s">
        <v>156</v>
      </c>
      <c r="C114" s="54" t="s">
        <v>1</v>
      </c>
      <c r="D114" s="55" t="s">
        <v>5</v>
      </c>
      <c r="E114" s="56" t="s">
        <v>156</v>
      </c>
      <c r="F114" s="56" t="s">
        <v>37</v>
      </c>
      <c r="G114" s="62">
        <f>SUMIFS('ریز گزارش ارزی'!$AC$8:$AC$63,'ریز گزارش ارزی'!$AC$8:$AC$63,"&gt;0",'ریز گزارش ارزی'!$AG$8:$AG$63,"قرض",'ریز گزارش ارزی'!$H$8:$H$63,F114,'ریز گزارش ارزی'!$F$8:$F$63,B114,'ریز گزارش ارزی'!$G$8:$G$63,C114,'ریز گزارش ارزی'!$AO$8:$AO$63,D114,'ریز گزارش ارزی'!$AP$8:$AP$63,E114)</f>
        <v>0</v>
      </c>
      <c r="H114" s="62">
        <f>SUMIFS('ریز گزارش ارزی'!$AD$8:$AD$63,'ریز گزارش ارزی'!$AD$8:$AD$63,"&gt;0",'ریز گزارش ارزی'!$AG$8:$AG$63,"قرض",'ریز گزارش ارزی'!$H$8:$H$63,F114,'ریز گزارش ارزی'!$F$8:$F$63,B114,'ریز گزارش ارزی'!$G$8:$G$63,C114,'ریز گزارش ارزی'!$AO$8:$AO$63,D114,'ریز گزارش ارزی'!$AP$8:$AP$63,E114)</f>
        <v>0</v>
      </c>
      <c r="I114" s="62">
        <f>SUMIFS('ریز گزارش ارزی'!$AC$8:$AC$63,'ریز گزارش ارزی'!$AC$8:$AC$63,"&gt;0",'ریز گزارش ارزی'!$AG$8:$AG$63,"عودت قرض",'ریز گزارش ارزی'!$H$8:$H$63,F114,'ریز گزارش ارزی'!$F$8:$F$63,B114,'ریز گزارش ارزی'!$G$8:$G$63,C114,'ریز گزارش ارزی'!$AO$8:$AO$63,D114,'ریز گزارش ارزی'!$AP$8:$AP$63,E114)</f>
        <v>0</v>
      </c>
      <c r="J114" s="62">
        <f>SUMIFS('ریز گزارش ارزی'!$AD$8:$AD$63,'ریز گزارش ارزی'!$AD$8:$AD$63,"&gt;0",'ریز گزارش ارزی'!$AG$8:$AG$63,"عودت قرض",'ریز گزارش ارزی'!$H$8:$H$63,F114,'ریز گزارش ارزی'!$F$8:$F$63,B114,'ریز گزارش ارزی'!$G$8:$G$63,C114,'ریز گزارش ارزی'!$AO$8:$AO$63,D114,'ریز گزارش ارزی'!$AP$8:$AP$63,E114)</f>
        <v>0</v>
      </c>
      <c r="K114" s="63">
        <f t="shared" si="50"/>
        <v>0</v>
      </c>
      <c r="L114" s="63">
        <f t="shared" si="48"/>
        <v>0</v>
      </c>
      <c r="M114" s="64">
        <f t="shared" si="51"/>
        <v>0</v>
      </c>
      <c r="N114" s="65" t="str">
        <f t="shared" si="49"/>
        <v>بی‌حساب</v>
      </c>
    </row>
    <row r="115" spans="2:14" ht="17.25" customHeight="1">
      <c r="B115" s="145" t="s">
        <v>156</v>
      </c>
      <c r="C115" s="142" t="s">
        <v>3</v>
      </c>
      <c r="D115" s="144" t="s">
        <v>6</v>
      </c>
      <c r="E115" s="145" t="s">
        <v>156</v>
      </c>
      <c r="F115" s="145" t="s">
        <v>37</v>
      </c>
      <c r="G115" s="146">
        <f>SUMIFS('ریز گزارش ارزی'!$AC$8:$AC$63,'ریز گزارش ارزی'!$AC$8:$AC$63,"&gt;0",'ریز گزارش ارزی'!$AG$8:$AG$63,"قرض",'ریز گزارش ارزی'!$H$8:$H$63,F115,'ریز گزارش ارزی'!$F$8:$F$63,B115,'ریز گزارش ارزی'!$G$8:$G$63,C115,'ریز گزارش ارزی'!$AO$8:$AO$63,D115,'ریز گزارش ارزی'!$AP$8:$AP$63,E115)</f>
        <v>0</v>
      </c>
      <c r="H115" s="146">
        <f>SUMIFS('ریز گزارش ارزی'!$AD$8:$AD$63,'ریز گزارش ارزی'!$AD$8:$AD$63,"&gt;0",'ریز گزارش ارزی'!$AG$8:$AG$63,"قرض",'ریز گزارش ارزی'!$H$8:$H$63,F115,'ریز گزارش ارزی'!$F$8:$F$63,B115,'ریز گزارش ارزی'!$G$8:$G$63,C115,'ریز گزارش ارزی'!$AO$8:$AO$63,D115,'ریز گزارش ارزی'!$AP$8:$AP$63,E115)</f>
        <v>0</v>
      </c>
      <c r="I115" s="146">
        <f>SUMIFS('ریز گزارش ارزی'!$AC$8:$AC$63,'ریز گزارش ارزی'!$AC$8:$AC$63,"&gt;0",'ریز گزارش ارزی'!$AG$8:$AG$63,"عودت قرض",'ریز گزارش ارزی'!$H$8:$H$63,F115,'ریز گزارش ارزی'!$F$8:$F$63,B115,'ریز گزارش ارزی'!$G$8:$G$63,C115,'ریز گزارش ارزی'!$AO$8:$AO$63,D115,'ریز گزارش ارزی'!$AP$8:$AP$63,E115)</f>
        <v>0</v>
      </c>
      <c r="J115" s="146">
        <f>SUMIFS('ریز گزارش ارزی'!$AD$8:$AD$63,'ریز گزارش ارزی'!$AD$8:$AD$63,"&gt;0",'ریز گزارش ارزی'!$AG$8:$AG$63,"عودت قرض",'ریز گزارش ارزی'!$H$8:$H$63,F115,'ریز گزارش ارزی'!$F$8:$F$63,B115,'ریز گزارش ارزی'!$G$8:$G$63,C115,'ریز گزارش ارزی'!$AO$8:$AO$63,D115,'ریز گزارش ارزی'!$AP$8:$AP$63,E115)</f>
        <v>0</v>
      </c>
      <c r="K115" s="63">
        <f t="shared" si="50"/>
        <v>0</v>
      </c>
      <c r="L115" s="63">
        <f t="shared" si="48"/>
        <v>0</v>
      </c>
      <c r="M115" s="64">
        <f t="shared" si="51"/>
        <v>0</v>
      </c>
      <c r="N115" s="65" t="str">
        <f t="shared" si="49"/>
        <v>بی‌حساب</v>
      </c>
    </row>
    <row r="116" spans="2:14" ht="17.25" customHeight="1">
      <c r="B116" s="145" t="s">
        <v>156</v>
      </c>
      <c r="C116" s="142" t="s">
        <v>3</v>
      </c>
      <c r="D116" s="144" t="s">
        <v>0</v>
      </c>
      <c r="E116" s="145" t="s">
        <v>156</v>
      </c>
      <c r="F116" s="145" t="s">
        <v>37</v>
      </c>
      <c r="G116" s="146">
        <f>SUMIFS('ریز گزارش ارزی'!$AC$8:$AC$63,'ریز گزارش ارزی'!$AC$8:$AC$63,"&gt;0",'ریز گزارش ارزی'!$AG$8:$AG$63,"قرض",'ریز گزارش ارزی'!$H$8:$H$63,F116,'ریز گزارش ارزی'!$F$8:$F$63,B116,'ریز گزارش ارزی'!$G$8:$G$63,C116,'ریز گزارش ارزی'!$AO$8:$AO$63,D116,'ریز گزارش ارزی'!$AP$8:$AP$63,E116)</f>
        <v>0</v>
      </c>
      <c r="H116" s="146">
        <f>SUMIFS('ریز گزارش ارزی'!$AD$8:$AD$63,'ریز گزارش ارزی'!$AD$8:$AD$63,"&gt;0",'ریز گزارش ارزی'!$AG$8:$AG$63,"قرض",'ریز گزارش ارزی'!$H$8:$H$63,F116,'ریز گزارش ارزی'!$F$8:$F$63,B116,'ریز گزارش ارزی'!$G$8:$G$63,C116,'ریز گزارش ارزی'!$AO$8:$AO$63,D116,'ریز گزارش ارزی'!$AP$8:$AP$63,E116)</f>
        <v>0</v>
      </c>
      <c r="I116" s="146">
        <f>SUMIFS('ریز گزارش ارزی'!$AC$8:$AC$63,'ریز گزارش ارزی'!$AC$8:$AC$63,"&gt;0",'ریز گزارش ارزی'!$AG$8:$AG$63,"عودت قرض",'ریز گزارش ارزی'!$H$8:$H$63,F116,'ریز گزارش ارزی'!$F$8:$F$63,B116,'ریز گزارش ارزی'!$G$8:$G$63,C116,'ریز گزارش ارزی'!$AO$8:$AO$63,D116,'ریز گزارش ارزی'!$AP$8:$AP$63,E116)</f>
        <v>0</v>
      </c>
      <c r="J116" s="146">
        <f>SUMIFS('ریز گزارش ارزی'!$AD$8:$AD$63,'ریز گزارش ارزی'!$AD$8:$AD$63,"&gt;0",'ریز گزارش ارزی'!$AG$8:$AG$63,"عودت قرض",'ریز گزارش ارزی'!$H$8:$H$63,F116,'ریز گزارش ارزی'!$F$8:$F$63,B116,'ریز گزارش ارزی'!$G$8:$G$63,C116,'ریز گزارش ارزی'!$AO$8:$AO$63,D116,'ریز گزارش ارزی'!$AP$8:$AP$63,E116)</f>
        <v>0</v>
      </c>
      <c r="K116" s="63">
        <f t="shared" si="50"/>
        <v>0</v>
      </c>
      <c r="L116" s="63">
        <f t="shared" si="48"/>
        <v>0</v>
      </c>
      <c r="M116" s="64">
        <f t="shared" si="51"/>
        <v>0</v>
      </c>
      <c r="N116" s="65" t="str">
        <f t="shared" si="49"/>
        <v>بی‌حساب</v>
      </c>
    </row>
    <row r="117" spans="2:14" ht="17.25" customHeight="1">
      <c r="B117" s="145" t="s">
        <v>156</v>
      </c>
      <c r="C117" s="142" t="s">
        <v>3</v>
      </c>
      <c r="D117" s="144" t="s">
        <v>1</v>
      </c>
      <c r="E117" s="145" t="s">
        <v>156</v>
      </c>
      <c r="F117" s="145" t="s">
        <v>37</v>
      </c>
      <c r="G117" s="146">
        <f>SUMIFS('ریز گزارش ارزی'!$AC$8:$AC$63,'ریز گزارش ارزی'!$AC$8:$AC$63,"&gt;0",'ریز گزارش ارزی'!$AG$8:$AG$63,"قرض",'ریز گزارش ارزی'!$H$8:$H$63,F117,'ریز گزارش ارزی'!$F$8:$F$63,B117,'ریز گزارش ارزی'!$G$8:$G$63,C117,'ریز گزارش ارزی'!$AO$8:$AO$63,D117,'ریز گزارش ارزی'!$AP$8:$AP$63,E117)</f>
        <v>0</v>
      </c>
      <c r="H117" s="146">
        <f>SUMIFS('ریز گزارش ارزی'!$AD$8:$AD$63,'ریز گزارش ارزی'!$AD$8:$AD$63,"&gt;0",'ریز گزارش ارزی'!$AG$8:$AG$63,"قرض",'ریز گزارش ارزی'!$H$8:$H$63,F117,'ریز گزارش ارزی'!$F$8:$F$63,B117,'ریز گزارش ارزی'!$G$8:$G$63,C117,'ریز گزارش ارزی'!$AO$8:$AO$63,D117,'ریز گزارش ارزی'!$AP$8:$AP$63,E117)</f>
        <v>0</v>
      </c>
      <c r="I117" s="146">
        <f>SUMIFS('ریز گزارش ارزی'!$AC$8:$AC$63,'ریز گزارش ارزی'!$AC$8:$AC$63,"&gt;0",'ریز گزارش ارزی'!$AG$8:$AG$63,"عودت قرض",'ریز گزارش ارزی'!$H$8:$H$63,F117,'ریز گزارش ارزی'!$F$8:$F$63,B117,'ریز گزارش ارزی'!$G$8:$G$63,C117,'ریز گزارش ارزی'!$AO$8:$AO$63,D117,'ریز گزارش ارزی'!$AP$8:$AP$63,E117)</f>
        <v>0</v>
      </c>
      <c r="J117" s="146">
        <f>SUMIFS('ریز گزارش ارزی'!$AD$8:$AD$63,'ریز گزارش ارزی'!$AD$8:$AD$63,"&gt;0",'ریز گزارش ارزی'!$AG$8:$AG$63,"عودت قرض",'ریز گزارش ارزی'!$H$8:$H$63,F117,'ریز گزارش ارزی'!$F$8:$F$63,B117,'ریز گزارش ارزی'!$G$8:$G$63,C117,'ریز گزارش ارزی'!$AO$8:$AO$63,D117,'ریز گزارش ارزی'!$AP$8:$AP$63,E117)</f>
        <v>0</v>
      </c>
      <c r="K117" s="63">
        <f t="shared" si="50"/>
        <v>0</v>
      </c>
      <c r="L117" s="63">
        <f t="shared" si="48"/>
        <v>0</v>
      </c>
      <c r="M117" s="64">
        <f t="shared" si="51"/>
        <v>0</v>
      </c>
      <c r="N117" s="65" t="str">
        <f t="shared" si="49"/>
        <v>بی‌حساب</v>
      </c>
    </row>
    <row r="118" spans="2:14" ht="17.25" customHeight="1">
      <c r="B118" s="145" t="s">
        <v>156</v>
      </c>
      <c r="C118" s="142" t="s">
        <v>3</v>
      </c>
      <c r="D118" s="144" t="s">
        <v>9</v>
      </c>
      <c r="E118" s="145" t="s">
        <v>156</v>
      </c>
      <c r="F118" s="145" t="s">
        <v>37</v>
      </c>
      <c r="G118" s="146">
        <f>SUMIFS('ریز گزارش ارزی'!$AC$8:$AC$63,'ریز گزارش ارزی'!$AC$8:$AC$63,"&gt;0",'ریز گزارش ارزی'!$AG$8:$AG$63,"قرض",'ریز گزارش ارزی'!$H$8:$H$63,F118,'ریز گزارش ارزی'!$F$8:$F$63,B118,'ریز گزارش ارزی'!$G$8:$G$63,C118,'ریز گزارش ارزی'!$AO$8:$AO$63,D118,'ریز گزارش ارزی'!$AP$8:$AP$63,E118)</f>
        <v>0</v>
      </c>
      <c r="H118" s="146">
        <f>SUMIFS('ریز گزارش ارزی'!$AD$8:$AD$63,'ریز گزارش ارزی'!$AD$8:$AD$63,"&gt;0",'ریز گزارش ارزی'!$AG$8:$AG$63,"قرض",'ریز گزارش ارزی'!$H$8:$H$63,F118,'ریز گزارش ارزی'!$F$8:$F$63,B118,'ریز گزارش ارزی'!$G$8:$G$63,C118,'ریز گزارش ارزی'!$AO$8:$AO$63,D118,'ریز گزارش ارزی'!$AP$8:$AP$63,E118)</f>
        <v>0</v>
      </c>
      <c r="I118" s="146">
        <f>SUMIFS('ریز گزارش ارزی'!$AC$8:$AC$63,'ریز گزارش ارزی'!$AC$8:$AC$63,"&gt;0",'ریز گزارش ارزی'!$AG$8:$AG$63,"عودت قرض",'ریز گزارش ارزی'!$H$8:$H$63,F118,'ریز گزارش ارزی'!$F$8:$F$63,B118,'ریز گزارش ارزی'!$G$8:$G$63,C118,'ریز گزارش ارزی'!$AO$8:$AO$63,D118,'ریز گزارش ارزی'!$AP$8:$AP$63,E118)</f>
        <v>0</v>
      </c>
      <c r="J118" s="146">
        <f>SUMIFS('ریز گزارش ارزی'!$AD$8:$AD$63,'ریز گزارش ارزی'!$AD$8:$AD$63,"&gt;0",'ریز گزارش ارزی'!$AG$8:$AG$63,"عودت قرض",'ریز گزارش ارزی'!$H$8:$H$63,F118,'ریز گزارش ارزی'!$F$8:$F$63,B118,'ریز گزارش ارزی'!$G$8:$G$63,C118,'ریز گزارش ارزی'!$AO$8:$AO$63,D118,'ریز گزارش ارزی'!$AP$8:$AP$63,E118)</f>
        <v>0</v>
      </c>
      <c r="K118" s="63">
        <f t="shared" si="50"/>
        <v>0</v>
      </c>
      <c r="L118" s="63">
        <f t="shared" si="48"/>
        <v>0</v>
      </c>
      <c r="M118" s="64">
        <f t="shared" si="51"/>
        <v>0</v>
      </c>
      <c r="N118" s="65" t="str">
        <f t="shared" si="49"/>
        <v>بی‌حساب</v>
      </c>
    </row>
    <row r="119" spans="2:14" ht="17.25" customHeight="1">
      <c r="B119" s="145" t="s">
        <v>156</v>
      </c>
      <c r="C119" s="142" t="s">
        <v>3</v>
      </c>
      <c r="D119" s="144" t="s">
        <v>14</v>
      </c>
      <c r="E119" s="145" t="s">
        <v>156</v>
      </c>
      <c r="F119" s="145" t="s">
        <v>37</v>
      </c>
      <c r="G119" s="146">
        <f>SUMIFS('ریز گزارش ارزی'!$AC$8:$AC$63,'ریز گزارش ارزی'!$AC$8:$AC$63,"&gt;0",'ریز گزارش ارزی'!$AG$8:$AG$63,"قرض",'ریز گزارش ارزی'!$H$8:$H$63,F119,'ریز گزارش ارزی'!$F$8:$F$63,B119,'ریز گزارش ارزی'!$G$8:$G$63,C119,'ریز گزارش ارزی'!$AO$8:$AO$63,D119,'ریز گزارش ارزی'!$AP$8:$AP$63,E119)</f>
        <v>0</v>
      </c>
      <c r="H119" s="146">
        <f>SUMIFS('ریز گزارش ارزی'!$AD$8:$AD$63,'ریز گزارش ارزی'!$AD$8:$AD$63,"&gt;0",'ریز گزارش ارزی'!$AG$8:$AG$63,"قرض",'ریز گزارش ارزی'!$H$8:$H$63,F119,'ریز گزارش ارزی'!$F$8:$F$63,B119,'ریز گزارش ارزی'!$G$8:$G$63,C119,'ریز گزارش ارزی'!$AO$8:$AO$63,D119,'ریز گزارش ارزی'!$AP$8:$AP$63,E119)</f>
        <v>0</v>
      </c>
      <c r="I119" s="146">
        <f>SUMIFS('ریز گزارش ارزی'!$AC$8:$AC$63,'ریز گزارش ارزی'!$AC$8:$AC$63,"&gt;0",'ریز گزارش ارزی'!$AG$8:$AG$63,"عودت قرض",'ریز گزارش ارزی'!$H$8:$H$63,F119,'ریز گزارش ارزی'!$F$8:$F$63,B119,'ریز گزارش ارزی'!$G$8:$G$63,C119,'ریز گزارش ارزی'!$AO$8:$AO$63,D119,'ریز گزارش ارزی'!$AP$8:$AP$63,E119)</f>
        <v>0</v>
      </c>
      <c r="J119" s="146">
        <f>SUMIFS('ریز گزارش ارزی'!$AD$8:$AD$63,'ریز گزارش ارزی'!$AD$8:$AD$63,"&gt;0",'ریز گزارش ارزی'!$AG$8:$AG$63,"عودت قرض",'ریز گزارش ارزی'!$H$8:$H$63,F119,'ریز گزارش ارزی'!$F$8:$F$63,B119,'ریز گزارش ارزی'!$G$8:$G$63,C119,'ریز گزارش ارزی'!$AO$8:$AO$63,D119,'ریز گزارش ارزی'!$AP$8:$AP$63,E119)</f>
        <v>0</v>
      </c>
      <c r="K119" s="63">
        <f t="shared" si="50"/>
        <v>0</v>
      </c>
      <c r="L119" s="63">
        <f t="shared" si="48"/>
        <v>0</v>
      </c>
      <c r="M119" s="64">
        <f t="shared" si="51"/>
        <v>0</v>
      </c>
      <c r="N119" s="65" t="str">
        <f t="shared" si="49"/>
        <v>بی‌حساب</v>
      </c>
    </row>
    <row r="120" spans="2:14" ht="17.25" customHeight="1">
      <c r="B120" s="145" t="s">
        <v>156</v>
      </c>
      <c r="C120" s="142" t="s">
        <v>3</v>
      </c>
      <c r="D120" s="144" t="s">
        <v>5</v>
      </c>
      <c r="E120" s="145" t="s">
        <v>156</v>
      </c>
      <c r="F120" s="145" t="s">
        <v>37</v>
      </c>
      <c r="G120" s="146">
        <f>SUMIFS('ریز گزارش ارزی'!$AC$8:$AC$63,'ریز گزارش ارزی'!$AC$8:$AC$63,"&gt;0",'ریز گزارش ارزی'!$AG$8:$AG$63,"قرض",'ریز گزارش ارزی'!$H$8:$H$63,F120,'ریز گزارش ارزی'!$F$8:$F$63,B120,'ریز گزارش ارزی'!$G$8:$G$63,C120,'ریز گزارش ارزی'!$AO$8:$AO$63,D120,'ریز گزارش ارزی'!$AP$8:$AP$63,E120)</f>
        <v>0</v>
      </c>
      <c r="H120" s="146">
        <f>SUMIFS('ریز گزارش ارزی'!$AD$8:$AD$63,'ریز گزارش ارزی'!$AD$8:$AD$63,"&gt;0",'ریز گزارش ارزی'!$AG$8:$AG$63,"قرض",'ریز گزارش ارزی'!$H$8:$H$63,F120,'ریز گزارش ارزی'!$F$8:$F$63,B120,'ریز گزارش ارزی'!$G$8:$G$63,C120,'ریز گزارش ارزی'!$AO$8:$AO$63,D120,'ریز گزارش ارزی'!$AP$8:$AP$63,E120)</f>
        <v>0</v>
      </c>
      <c r="I120" s="146">
        <f>SUMIFS('ریز گزارش ارزی'!$AC$8:$AC$63,'ریز گزارش ارزی'!$AC$8:$AC$63,"&gt;0",'ریز گزارش ارزی'!$AG$8:$AG$63,"عودت قرض",'ریز گزارش ارزی'!$H$8:$H$63,F120,'ریز گزارش ارزی'!$F$8:$F$63,B120,'ریز گزارش ارزی'!$G$8:$G$63,C120,'ریز گزارش ارزی'!$AO$8:$AO$63,D120,'ریز گزارش ارزی'!$AP$8:$AP$63,E120)</f>
        <v>0</v>
      </c>
      <c r="J120" s="146">
        <f>SUMIFS('ریز گزارش ارزی'!$AD$8:$AD$63,'ریز گزارش ارزی'!$AD$8:$AD$63,"&gt;0",'ریز گزارش ارزی'!$AG$8:$AG$63,"عودت قرض",'ریز گزارش ارزی'!$H$8:$H$63,F120,'ریز گزارش ارزی'!$F$8:$F$63,B120,'ریز گزارش ارزی'!$G$8:$G$63,C120,'ریز گزارش ارزی'!$AO$8:$AO$63,D120,'ریز گزارش ارزی'!$AP$8:$AP$63,E120)</f>
        <v>0</v>
      </c>
      <c r="K120" s="63">
        <f t="shared" si="50"/>
        <v>0</v>
      </c>
      <c r="L120" s="63">
        <f t="shared" si="48"/>
        <v>0</v>
      </c>
      <c r="M120" s="64">
        <f t="shared" si="51"/>
        <v>0</v>
      </c>
      <c r="N120" s="65" t="str">
        <f t="shared" si="49"/>
        <v>بی‌حساب</v>
      </c>
    </row>
    <row r="121" spans="2:14" ht="17.25" customHeight="1">
      <c r="B121" s="145" t="s">
        <v>156</v>
      </c>
      <c r="C121" s="59" t="s">
        <v>9</v>
      </c>
      <c r="D121" s="55" t="s">
        <v>6</v>
      </c>
      <c r="E121" s="56" t="s">
        <v>156</v>
      </c>
      <c r="F121" s="56" t="s">
        <v>37</v>
      </c>
      <c r="G121" s="62">
        <f>SUMIFS('ریز گزارش ارزی'!$AC$8:$AC$63,'ریز گزارش ارزی'!$AC$8:$AC$63,"&gt;0",'ریز گزارش ارزی'!$AG$8:$AG$63,"قرض",'ریز گزارش ارزی'!$H$8:$H$63,F121,'ریز گزارش ارزی'!$F$8:$F$63,B121,'ریز گزارش ارزی'!$G$8:$G$63,C121,'ریز گزارش ارزی'!$AO$8:$AO$63,D121,'ریز گزارش ارزی'!$AP$8:$AP$63,E121)</f>
        <v>0</v>
      </c>
      <c r="H121" s="62">
        <f>SUMIFS('ریز گزارش ارزی'!$AD$8:$AD$63,'ریز گزارش ارزی'!$AD$8:$AD$63,"&gt;0",'ریز گزارش ارزی'!$AG$8:$AG$63,"قرض",'ریز گزارش ارزی'!$H$8:$H$63,F121,'ریز گزارش ارزی'!$F$8:$F$63,B121,'ریز گزارش ارزی'!$G$8:$G$63,C121,'ریز گزارش ارزی'!$AO$8:$AO$63,D121,'ریز گزارش ارزی'!$AP$8:$AP$63,E121)</f>
        <v>0</v>
      </c>
      <c r="I121" s="62">
        <f>SUMIFS('ریز گزارش ارزی'!$AC$8:$AC$63,'ریز گزارش ارزی'!$AC$8:$AC$63,"&gt;0",'ریز گزارش ارزی'!$AG$8:$AG$63,"عودت قرض",'ریز گزارش ارزی'!$H$8:$H$63,F121,'ریز گزارش ارزی'!$F$8:$F$63,B121,'ریز گزارش ارزی'!$G$8:$G$63,C121,'ریز گزارش ارزی'!$AO$8:$AO$63,D121,'ریز گزارش ارزی'!$AP$8:$AP$63,E121)</f>
        <v>0</v>
      </c>
      <c r="J121" s="62">
        <f>SUMIFS('ریز گزارش ارزی'!$AD$8:$AD$63,'ریز گزارش ارزی'!$AD$8:$AD$63,"&gt;0",'ریز گزارش ارزی'!$AG$8:$AG$63,"عودت قرض",'ریز گزارش ارزی'!$H$8:$H$63,F121,'ریز گزارش ارزی'!$F$8:$F$63,B121,'ریز گزارش ارزی'!$G$8:$G$63,C121,'ریز گزارش ارزی'!$AO$8:$AO$63,D121,'ریز گزارش ارزی'!$AP$8:$AP$63,E121)</f>
        <v>0</v>
      </c>
      <c r="K121" s="63">
        <f t="shared" si="50"/>
        <v>0</v>
      </c>
      <c r="L121" s="63">
        <f t="shared" si="48"/>
        <v>0</v>
      </c>
      <c r="M121" s="64">
        <f t="shared" si="51"/>
        <v>0</v>
      </c>
      <c r="N121" s="65" t="str">
        <f t="shared" si="49"/>
        <v>بی‌حساب</v>
      </c>
    </row>
    <row r="122" spans="2:14" ht="17.25" customHeight="1">
      <c r="B122" s="145" t="s">
        <v>156</v>
      </c>
      <c r="C122" s="59" t="s">
        <v>9</v>
      </c>
      <c r="D122" s="55" t="s">
        <v>0</v>
      </c>
      <c r="E122" s="56" t="s">
        <v>156</v>
      </c>
      <c r="F122" s="56" t="s">
        <v>37</v>
      </c>
      <c r="G122" s="62">
        <f>SUMIFS('ریز گزارش ارزی'!$AC$8:$AC$63,'ریز گزارش ارزی'!$AC$8:$AC$63,"&gt;0",'ریز گزارش ارزی'!$AG$8:$AG$63,"قرض",'ریز گزارش ارزی'!$H$8:$H$63,F122,'ریز گزارش ارزی'!$F$8:$F$63,B122,'ریز گزارش ارزی'!$G$8:$G$63,C122,'ریز گزارش ارزی'!$AO$8:$AO$63,D122,'ریز گزارش ارزی'!$AP$8:$AP$63,E122)</f>
        <v>0</v>
      </c>
      <c r="H122" s="62">
        <f>SUMIFS('ریز گزارش ارزی'!$AD$8:$AD$63,'ریز گزارش ارزی'!$AD$8:$AD$63,"&gt;0",'ریز گزارش ارزی'!$AG$8:$AG$63,"قرض",'ریز گزارش ارزی'!$H$8:$H$63,F122,'ریز گزارش ارزی'!$F$8:$F$63,B122,'ریز گزارش ارزی'!$G$8:$G$63,C122,'ریز گزارش ارزی'!$AO$8:$AO$63,D122,'ریز گزارش ارزی'!$AP$8:$AP$63,E122)</f>
        <v>0</v>
      </c>
      <c r="I122" s="62">
        <f>SUMIFS('ریز گزارش ارزی'!$AC$8:$AC$63,'ریز گزارش ارزی'!$AC$8:$AC$63,"&gt;0",'ریز گزارش ارزی'!$AG$8:$AG$63,"عودت قرض",'ریز گزارش ارزی'!$H$8:$H$63,F122,'ریز گزارش ارزی'!$F$8:$F$63,B122,'ریز گزارش ارزی'!$G$8:$G$63,C122,'ریز گزارش ارزی'!$AO$8:$AO$63,D122,'ریز گزارش ارزی'!$AP$8:$AP$63,E122)</f>
        <v>0</v>
      </c>
      <c r="J122" s="62">
        <f>SUMIFS('ریز گزارش ارزی'!$AD$8:$AD$63,'ریز گزارش ارزی'!$AD$8:$AD$63,"&gt;0",'ریز گزارش ارزی'!$AG$8:$AG$63,"عودت قرض",'ریز گزارش ارزی'!$H$8:$H$63,F122,'ریز گزارش ارزی'!$F$8:$F$63,B122,'ریز گزارش ارزی'!$G$8:$G$63,C122,'ریز گزارش ارزی'!$AO$8:$AO$63,D122,'ریز گزارش ارزی'!$AP$8:$AP$63,E122)</f>
        <v>0</v>
      </c>
      <c r="K122" s="63">
        <f t="shared" si="50"/>
        <v>0</v>
      </c>
      <c r="L122" s="63">
        <f t="shared" si="48"/>
        <v>0</v>
      </c>
      <c r="M122" s="64">
        <f t="shared" si="51"/>
        <v>0</v>
      </c>
      <c r="N122" s="65" t="str">
        <f t="shared" si="49"/>
        <v>بی‌حساب</v>
      </c>
    </row>
    <row r="123" spans="2:14" ht="17.25" customHeight="1">
      <c r="B123" s="145" t="s">
        <v>156</v>
      </c>
      <c r="C123" s="59" t="s">
        <v>9</v>
      </c>
      <c r="D123" s="55" t="s">
        <v>1</v>
      </c>
      <c r="E123" s="56" t="s">
        <v>156</v>
      </c>
      <c r="F123" s="56" t="s">
        <v>37</v>
      </c>
      <c r="G123" s="62">
        <f>SUMIFS('ریز گزارش ارزی'!$AC$8:$AC$63,'ریز گزارش ارزی'!$AC$8:$AC$63,"&gt;0",'ریز گزارش ارزی'!$AG$8:$AG$63,"قرض",'ریز گزارش ارزی'!$H$8:$H$63,F123,'ریز گزارش ارزی'!$F$8:$F$63,B123,'ریز گزارش ارزی'!$G$8:$G$63,C123,'ریز گزارش ارزی'!$AO$8:$AO$63,D123,'ریز گزارش ارزی'!$AP$8:$AP$63,E123)</f>
        <v>0</v>
      </c>
      <c r="H123" s="62">
        <f>SUMIFS('ریز گزارش ارزی'!$AD$8:$AD$63,'ریز گزارش ارزی'!$AD$8:$AD$63,"&gt;0",'ریز گزارش ارزی'!$AG$8:$AG$63,"قرض",'ریز گزارش ارزی'!$H$8:$H$63,F123,'ریز گزارش ارزی'!$F$8:$F$63,B123,'ریز گزارش ارزی'!$G$8:$G$63,C123,'ریز گزارش ارزی'!$AO$8:$AO$63,D123,'ریز گزارش ارزی'!$AP$8:$AP$63,E123)</f>
        <v>0</v>
      </c>
      <c r="I123" s="62">
        <f>SUMIFS('ریز گزارش ارزی'!$AC$8:$AC$63,'ریز گزارش ارزی'!$AC$8:$AC$63,"&gt;0",'ریز گزارش ارزی'!$AG$8:$AG$63,"عودت قرض",'ریز گزارش ارزی'!$H$8:$H$63,F123,'ریز گزارش ارزی'!$F$8:$F$63,B123,'ریز گزارش ارزی'!$G$8:$G$63,C123,'ریز گزارش ارزی'!$AO$8:$AO$63,D123,'ریز گزارش ارزی'!$AP$8:$AP$63,E123)</f>
        <v>0</v>
      </c>
      <c r="J123" s="62">
        <f>SUMIFS('ریز گزارش ارزی'!$AD$8:$AD$63,'ریز گزارش ارزی'!$AD$8:$AD$63,"&gt;0",'ریز گزارش ارزی'!$AG$8:$AG$63,"عودت قرض",'ریز گزارش ارزی'!$H$8:$H$63,F123,'ریز گزارش ارزی'!$F$8:$F$63,B123,'ریز گزارش ارزی'!$G$8:$G$63,C123,'ریز گزارش ارزی'!$AO$8:$AO$63,D123,'ریز گزارش ارزی'!$AP$8:$AP$63,E123)</f>
        <v>0</v>
      </c>
      <c r="K123" s="63">
        <f t="shared" si="50"/>
        <v>0</v>
      </c>
      <c r="L123" s="63">
        <f t="shared" si="48"/>
        <v>0</v>
      </c>
      <c r="M123" s="64">
        <f t="shared" si="51"/>
        <v>0</v>
      </c>
      <c r="N123" s="65" t="str">
        <f t="shared" si="49"/>
        <v>بی‌حساب</v>
      </c>
    </row>
    <row r="124" spans="2:14" ht="17.25" customHeight="1">
      <c r="B124" s="145" t="s">
        <v>156</v>
      </c>
      <c r="C124" s="59" t="s">
        <v>9</v>
      </c>
      <c r="D124" s="55" t="s">
        <v>3</v>
      </c>
      <c r="E124" s="56" t="s">
        <v>156</v>
      </c>
      <c r="F124" s="56" t="s">
        <v>37</v>
      </c>
      <c r="G124" s="62">
        <f>SUMIFS('ریز گزارش ارزی'!$AC$8:$AC$63,'ریز گزارش ارزی'!$AC$8:$AC$63,"&gt;0",'ریز گزارش ارزی'!$AG$8:$AG$63,"قرض",'ریز گزارش ارزی'!$H$8:$H$63,F124,'ریز گزارش ارزی'!$F$8:$F$63,B124,'ریز گزارش ارزی'!$G$8:$G$63,C124,'ریز گزارش ارزی'!$AO$8:$AO$63,D124,'ریز گزارش ارزی'!$AP$8:$AP$63,E124)</f>
        <v>0</v>
      </c>
      <c r="H124" s="62">
        <f>SUMIFS('ریز گزارش ارزی'!$AD$8:$AD$63,'ریز گزارش ارزی'!$AD$8:$AD$63,"&gt;0",'ریز گزارش ارزی'!$AG$8:$AG$63,"قرض",'ریز گزارش ارزی'!$H$8:$H$63,F124,'ریز گزارش ارزی'!$F$8:$F$63,B124,'ریز گزارش ارزی'!$G$8:$G$63,C124,'ریز گزارش ارزی'!$AO$8:$AO$63,D124,'ریز گزارش ارزی'!$AP$8:$AP$63,E124)</f>
        <v>0</v>
      </c>
      <c r="I124" s="62">
        <f>SUMIFS('ریز گزارش ارزی'!$AC$8:$AC$63,'ریز گزارش ارزی'!$AC$8:$AC$63,"&gt;0",'ریز گزارش ارزی'!$AG$8:$AG$63,"عودت قرض",'ریز گزارش ارزی'!$H$8:$H$63,F124,'ریز گزارش ارزی'!$F$8:$F$63,B124,'ریز گزارش ارزی'!$G$8:$G$63,C124,'ریز گزارش ارزی'!$AO$8:$AO$63,D124,'ریز گزارش ارزی'!$AP$8:$AP$63,E124)</f>
        <v>0</v>
      </c>
      <c r="J124" s="62">
        <f>SUMIFS('ریز گزارش ارزی'!$AD$8:$AD$63,'ریز گزارش ارزی'!$AD$8:$AD$63,"&gt;0",'ریز گزارش ارزی'!$AG$8:$AG$63,"عودت قرض",'ریز گزارش ارزی'!$H$8:$H$63,F124,'ریز گزارش ارزی'!$F$8:$F$63,B124,'ریز گزارش ارزی'!$G$8:$G$63,C124,'ریز گزارش ارزی'!$AO$8:$AO$63,D124,'ریز گزارش ارزی'!$AP$8:$AP$63,E124)</f>
        <v>0</v>
      </c>
      <c r="K124" s="63">
        <f t="shared" si="50"/>
        <v>0</v>
      </c>
      <c r="L124" s="63">
        <f t="shared" si="48"/>
        <v>0</v>
      </c>
      <c r="M124" s="64">
        <f t="shared" si="51"/>
        <v>0</v>
      </c>
      <c r="N124" s="65" t="str">
        <f t="shared" si="49"/>
        <v>بی‌حساب</v>
      </c>
    </row>
    <row r="125" spans="2:14" ht="17.25" customHeight="1">
      <c r="B125" s="145" t="s">
        <v>156</v>
      </c>
      <c r="C125" s="59" t="s">
        <v>9</v>
      </c>
      <c r="D125" s="55" t="s">
        <v>14</v>
      </c>
      <c r="E125" s="56" t="s">
        <v>156</v>
      </c>
      <c r="F125" s="56" t="s">
        <v>37</v>
      </c>
      <c r="G125" s="62">
        <f>SUMIFS('ریز گزارش ارزی'!$AC$8:$AC$63,'ریز گزارش ارزی'!$AC$8:$AC$63,"&gt;0",'ریز گزارش ارزی'!$AG$8:$AG$63,"قرض",'ریز گزارش ارزی'!$H$8:$H$63,F125,'ریز گزارش ارزی'!$F$8:$F$63,B125,'ریز گزارش ارزی'!$G$8:$G$63,C125,'ریز گزارش ارزی'!$AO$8:$AO$63,D125,'ریز گزارش ارزی'!$AP$8:$AP$63,E125)</f>
        <v>0</v>
      </c>
      <c r="H125" s="62">
        <f>SUMIFS('ریز گزارش ارزی'!$AD$8:$AD$63,'ریز گزارش ارزی'!$AD$8:$AD$63,"&gt;0",'ریز گزارش ارزی'!$AG$8:$AG$63,"قرض",'ریز گزارش ارزی'!$H$8:$H$63,F125,'ریز گزارش ارزی'!$F$8:$F$63,B125,'ریز گزارش ارزی'!$G$8:$G$63,C125,'ریز گزارش ارزی'!$AO$8:$AO$63,D125,'ریز گزارش ارزی'!$AP$8:$AP$63,E125)</f>
        <v>0</v>
      </c>
      <c r="I125" s="62">
        <f>SUMIFS('ریز گزارش ارزی'!$AC$8:$AC$63,'ریز گزارش ارزی'!$AC$8:$AC$63,"&gt;0",'ریز گزارش ارزی'!$AG$8:$AG$63,"عودت قرض",'ریز گزارش ارزی'!$H$8:$H$63,F125,'ریز گزارش ارزی'!$F$8:$F$63,B125,'ریز گزارش ارزی'!$G$8:$G$63,C125,'ریز گزارش ارزی'!$AO$8:$AO$63,D125,'ریز گزارش ارزی'!$AP$8:$AP$63,E125)</f>
        <v>0</v>
      </c>
      <c r="J125" s="62">
        <f>SUMIFS('ریز گزارش ارزی'!$AD$8:$AD$63,'ریز گزارش ارزی'!$AD$8:$AD$63,"&gt;0",'ریز گزارش ارزی'!$AG$8:$AG$63,"عودت قرض",'ریز گزارش ارزی'!$H$8:$H$63,F125,'ریز گزارش ارزی'!$F$8:$F$63,B125,'ریز گزارش ارزی'!$G$8:$G$63,C125,'ریز گزارش ارزی'!$AO$8:$AO$63,D125,'ریز گزارش ارزی'!$AP$8:$AP$63,E125)</f>
        <v>0</v>
      </c>
      <c r="K125" s="63">
        <f t="shared" si="50"/>
        <v>0</v>
      </c>
      <c r="L125" s="63">
        <f t="shared" si="48"/>
        <v>0</v>
      </c>
      <c r="M125" s="64">
        <f t="shared" si="51"/>
        <v>0</v>
      </c>
      <c r="N125" s="65" t="str">
        <f t="shared" si="49"/>
        <v>بی‌حساب</v>
      </c>
    </row>
    <row r="126" spans="2:14" ht="17.25" customHeight="1">
      <c r="B126" s="145" t="s">
        <v>156</v>
      </c>
      <c r="C126" s="59" t="s">
        <v>9</v>
      </c>
      <c r="D126" s="55" t="s">
        <v>5</v>
      </c>
      <c r="E126" s="56" t="s">
        <v>156</v>
      </c>
      <c r="F126" s="56" t="s">
        <v>37</v>
      </c>
      <c r="G126" s="62">
        <f>SUMIFS('ریز گزارش ارزی'!$AC$8:$AC$63,'ریز گزارش ارزی'!$AC$8:$AC$63,"&gt;0",'ریز گزارش ارزی'!$AG$8:$AG$63,"قرض",'ریز گزارش ارزی'!$H$8:$H$63,F126,'ریز گزارش ارزی'!$F$8:$F$63,B126,'ریز گزارش ارزی'!$G$8:$G$63,C126,'ریز گزارش ارزی'!$AO$8:$AO$63,D126,'ریز گزارش ارزی'!$AP$8:$AP$63,E126)</f>
        <v>0</v>
      </c>
      <c r="H126" s="62">
        <f>SUMIFS('ریز گزارش ارزی'!$AD$8:$AD$63,'ریز گزارش ارزی'!$AD$8:$AD$63,"&gt;0",'ریز گزارش ارزی'!$AG$8:$AG$63,"قرض",'ریز گزارش ارزی'!$H$8:$H$63,F126,'ریز گزارش ارزی'!$F$8:$F$63,B126,'ریز گزارش ارزی'!$G$8:$G$63,C126,'ریز گزارش ارزی'!$AO$8:$AO$63,D126,'ریز گزارش ارزی'!$AP$8:$AP$63,E126)</f>
        <v>0</v>
      </c>
      <c r="I126" s="62">
        <f>SUMIFS('ریز گزارش ارزی'!$AC$8:$AC$63,'ریز گزارش ارزی'!$AC$8:$AC$63,"&gt;0",'ریز گزارش ارزی'!$AG$8:$AG$63,"عودت قرض",'ریز گزارش ارزی'!$H$8:$H$63,F126,'ریز گزارش ارزی'!$F$8:$F$63,B126,'ریز گزارش ارزی'!$G$8:$G$63,C126,'ریز گزارش ارزی'!$AO$8:$AO$63,D126,'ریز گزارش ارزی'!$AP$8:$AP$63,E126)</f>
        <v>0</v>
      </c>
      <c r="J126" s="62">
        <f>SUMIFS('ریز گزارش ارزی'!$AD$8:$AD$63,'ریز گزارش ارزی'!$AD$8:$AD$63,"&gt;0",'ریز گزارش ارزی'!$AG$8:$AG$63,"عودت قرض",'ریز گزارش ارزی'!$H$8:$H$63,F126,'ریز گزارش ارزی'!$F$8:$F$63,B126,'ریز گزارش ارزی'!$G$8:$G$63,C126,'ریز گزارش ارزی'!$AO$8:$AO$63,D126,'ریز گزارش ارزی'!$AP$8:$AP$63,E126)</f>
        <v>0</v>
      </c>
      <c r="K126" s="63">
        <f t="shared" si="50"/>
        <v>0</v>
      </c>
      <c r="L126" s="63">
        <f t="shared" si="48"/>
        <v>0</v>
      </c>
      <c r="M126" s="64">
        <f t="shared" si="51"/>
        <v>0</v>
      </c>
      <c r="N126" s="65" t="str">
        <f t="shared" si="49"/>
        <v>بی‌حساب</v>
      </c>
    </row>
    <row r="127" spans="2:14" ht="17.25" customHeight="1">
      <c r="B127" s="145" t="s">
        <v>156</v>
      </c>
      <c r="C127" s="60" t="s">
        <v>14</v>
      </c>
      <c r="D127" s="144" t="s">
        <v>6</v>
      </c>
      <c r="E127" s="145" t="s">
        <v>156</v>
      </c>
      <c r="F127" s="145" t="s">
        <v>37</v>
      </c>
      <c r="G127" s="146">
        <f>SUMIFS('ریز گزارش ارزی'!$AC$8:$AC$63,'ریز گزارش ارزی'!$AC$8:$AC$63,"&gt;0",'ریز گزارش ارزی'!$AG$8:$AG$63,"قرض",'ریز گزارش ارزی'!$H$8:$H$63,F127,'ریز گزارش ارزی'!$F$8:$F$63,B127,'ریز گزارش ارزی'!$G$8:$G$63,C127,'ریز گزارش ارزی'!$AO$8:$AO$63,D127,'ریز گزارش ارزی'!$AP$8:$AP$63,E127)</f>
        <v>0</v>
      </c>
      <c r="H127" s="146">
        <f>SUMIFS('ریز گزارش ارزی'!$AD$8:$AD$63,'ریز گزارش ارزی'!$AD$8:$AD$63,"&gt;0",'ریز گزارش ارزی'!$AG$8:$AG$63,"قرض",'ریز گزارش ارزی'!$H$8:$H$63,F127,'ریز گزارش ارزی'!$F$8:$F$63,B127,'ریز گزارش ارزی'!$G$8:$G$63,C127,'ریز گزارش ارزی'!$AO$8:$AO$63,D127,'ریز گزارش ارزی'!$AP$8:$AP$63,E127)</f>
        <v>0</v>
      </c>
      <c r="I127" s="146">
        <f>SUMIFS('ریز گزارش ارزی'!$AC$8:$AC$63,'ریز گزارش ارزی'!$AC$8:$AC$63,"&gt;0",'ریز گزارش ارزی'!$AG$8:$AG$63,"عودت قرض",'ریز گزارش ارزی'!$H$8:$H$63,F127,'ریز گزارش ارزی'!$F$8:$F$63,B127,'ریز گزارش ارزی'!$G$8:$G$63,C127,'ریز گزارش ارزی'!$AO$8:$AO$63,D127,'ریز گزارش ارزی'!$AP$8:$AP$63,E127)</f>
        <v>0</v>
      </c>
      <c r="J127" s="146">
        <f>SUMIFS('ریز گزارش ارزی'!$AD$8:$AD$63,'ریز گزارش ارزی'!$AD$8:$AD$63,"&gt;0",'ریز گزارش ارزی'!$AG$8:$AG$63,"عودت قرض",'ریز گزارش ارزی'!$H$8:$H$63,F127,'ریز گزارش ارزی'!$F$8:$F$63,B127,'ریز گزارش ارزی'!$G$8:$G$63,C127,'ریز گزارش ارزی'!$AO$8:$AO$63,D127,'ریز گزارش ارزی'!$AP$8:$AP$63,E127)</f>
        <v>0</v>
      </c>
      <c r="K127" s="63">
        <f t="shared" si="50"/>
        <v>0</v>
      </c>
      <c r="L127" s="63">
        <f t="shared" si="48"/>
        <v>0</v>
      </c>
      <c r="M127" s="64">
        <f t="shared" si="51"/>
        <v>0</v>
      </c>
      <c r="N127" s="65" t="str">
        <f t="shared" si="49"/>
        <v>بی‌حساب</v>
      </c>
    </row>
    <row r="128" spans="2:14" ht="17.25" customHeight="1">
      <c r="B128" s="145" t="s">
        <v>156</v>
      </c>
      <c r="C128" s="60" t="s">
        <v>14</v>
      </c>
      <c r="D128" s="144" t="s">
        <v>0</v>
      </c>
      <c r="E128" s="145" t="s">
        <v>156</v>
      </c>
      <c r="F128" s="145" t="s">
        <v>37</v>
      </c>
      <c r="G128" s="146">
        <f>SUMIFS('ریز گزارش ارزی'!$AC$8:$AC$63,'ریز گزارش ارزی'!$AC$8:$AC$63,"&gt;0",'ریز گزارش ارزی'!$AG$8:$AG$63,"قرض",'ریز گزارش ارزی'!$H$8:$H$63,F128,'ریز گزارش ارزی'!$F$8:$F$63,B128,'ریز گزارش ارزی'!$G$8:$G$63,C128,'ریز گزارش ارزی'!$AO$8:$AO$63,D128,'ریز گزارش ارزی'!$AP$8:$AP$63,E128)</f>
        <v>0</v>
      </c>
      <c r="H128" s="146">
        <f>SUMIFS('ریز گزارش ارزی'!$AD$8:$AD$63,'ریز گزارش ارزی'!$AD$8:$AD$63,"&gt;0",'ریز گزارش ارزی'!$AG$8:$AG$63,"قرض",'ریز گزارش ارزی'!$H$8:$H$63,F128,'ریز گزارش ارزی'!$F$8:$F$63,B128,'ریز گزارش ارزی'!$G$8:$G$63,C128,'ریز گزارش ارزی'!$AO$8:$AO$63,D128,'ریز گزارش ارزی'!$AP$8:$AP$63,E128)</f>
        <v>0</v>
      </c>
      <c r="I128" s="146">
        <f>SUMIFS('ریز گزارش ارزی'!$AC$8:$AC$63,'ریز گزارش ارزی'!$AC$8:$AC$63,"&gt;0",'ریز گزارش ارزی'!$AG$8:$AG$63,"عودت قرض",'ریز گزارش ارزی'!$H$8:$H$63,F128,'ریز گزارش ارزی'!$F$8:$F$63,B128,'ریز گزارش ارزی'!$G$8:$G$63,C128,'ریز گزارش ارزی'!$AO$8:$AO$63,D128,'ریز گزارش ارزی'!$AP$8:$AP$63,E128)</f>
        <v>0</v>
      </c>
      <c r="J128" s="146">
        <f>SUMIFS('ریز گزارش ارزی'!$AD$8:$AD$63,'ریز گزارش ارزی'!$AD$8:$AD$63,"&gt;0",'ریز گزارش ارزی'!$AG$8:$AG$63,"عودت قرض",'ریز گزارش ارزی'!$H$8:$H$63,F128,'ریز گزارش ارزی'!$F$8:$F$63,B128,'ریز گزارش ارزی'!$G$8:$G$63,C128,'ریز گزارش ارزی'!$AO$8:$AO$63,D128,'ریز گزارش ارزی'!$AP$8:$AP$63,E128)</f>
        <v>0</v>
      </c>
      <c r="K128" s="63">
        <f t="shared" si="50"/>
        <v>0</v>
      </c>
      <c r="L128" s="63">
        <f t="shared" si="48"/>
        <v>0</v>
      </c>
      <c r="M128" s="64">
        <f t="shared" si="51"/>
        <v>0</v>
      </c>
      <c r="N128" s="65" t="str">
        <f t="shared" si="49"/>
        <v>بی‌حساب</v>
      </c>
    </row>
    <row r="129" spans="2:14" ht="17.25" customHeight="1">
      <c r="B129" s="145" t="s">
        <v>156</v>
      </c>
      <c r="C129" s="60" t="s">
        <v>14</v>
      </c>
      <c r="D129" s="144" t="s">
        <v>1</v>
      </c>
      <c r="E129" s="145" t="s">
        <v>156</v>
      </c>
      <c r="F129" s="145" t="s">
        <v>37</v>
      </c>
      <c r="G129" s="146">
        <f>SUMIFS('ریز گزارش ارزی'!$AC$8:$AC$63,'ریز گزارش ارزی'!$AC$8:$AC$63,"&gt;0",'ریز گزارش ارزی'!$AG$8:$AG$63,"قرض",'ریز گزارش ارزی'!$H$8:$H$63,F129,'ریز گزارش ارزی'!$F$8:$F$63,B129,'ریز گزارش ارزی'!$G$8:$G$63,C129,'ریز گزارش ارزی'!$AO$8:$AO$63,D129,'ریز گزارش ارزی'!$AP$8:$AP$63,E129)</f>
        <v>0</v>
      </c>
      <c r="H129" s="146">
        <f>SUMIFS('ریز گزارش ارزی'!$AD$8:$AD$63,'ریز گزارش ارزی'!$AD$8:$AD$63,"&gt;0",'ریز گزارش ارزی'!$AG$8:$AG$63,"قرض",'ریز گزارش ارزی'!$H$8:$H$63,F129,'ریز گزارش ارزی'!$F$8:$F$63,B129,'ریز گزارش ارزی'!$G$8:$G$63,C129,'ریز گزارش ارزی'!$AO$8:$AO$63,D129,'ریز گزارش ارزی'!$AP$8:$AP$63,E129)</f>
        <v>0</v>
      </c>
      <c r="I129" s="146">
        <f>SUMIFS('ریز گزارش ارزی'!$AC$8:$AC$63,'ریز گزارش ارزی'!$AC$8:$AC$63,"&gt;0",'ریز گزارش ارزی'!$AG$8:$AG$63,"عودت قرض",'ریز گزارش ارزی'!$H$8:$H$63,F129,'ریز گزارش ارزی'!$F$8:$F$63,B129,'ریز گزارش ارزی'!$G$8:$G$63,C129,'ریز گزارش ارزی'!$AO$8:$AO$63,D129,'ریز گزارش ارزی'!$AP$8:$AP$63,E129)</f>
        <v>0</v>
      </c>
      <c r="J129" s="146">
        <f>SUMIFS('ریز گزارش ارزی'!$AD$8:$AD$63,'ریز گزارش ارزی'!$AD$8:$AD$63,"&gt;0",'ریز گزارش ارزی'!$AG$8:$AG$63,"عودت قرض",'ریز گزارش ارزی'!$H$8:$H$63,F129,'ریز گزارش ارزی'!$F$8:$F$63,B129,'ریز گزارش ارزی'!$G$8:$G$63,C129,'ریز گزارش ارزی'!$AO$8:$AO$63,D129,'ریز گزارش ارزی'!$AP$8:$AP$63,E129)</f>
        <v>0</v>
      </c>
      <c r="K129" s="63">
        <f t="shared" si="50"/>
        <v>0</v>
      </c>
      <c r="L129" s="63">
        <f t="shared" si="48"/>
        <v>0</v>
      </c>
      <c r="M129" s="64">
        <f t="shared" si="51"/>
        <v>0</v>
      </c>
      <c r="N129" s="65" t="str">
        <f t="shared" si="49"/>
        <v>بی‌حساب</v>
      </c>
    </row>
    <row r="130" spans="2:14" ht="17.25" customHeight="1">
      <c r="B130" s="145" t="s">
        <v>156</v>
      </c>
      <c r="C130" s="60" t="s">
        <v>14</v>
      </c>
      <c r="D130" s="144" t="s">
        <v>3</v>
      </c>
      <c r="E130" s="145" t="s">
        <v>156</v>
      </c>
      <c r="F130" s="145" t="s">
        <v>37</v>
      </c>
      <c r="G130" s="146">
        <f>SUMIFS('ریز گزارش ارزی'!$AC$8:$AC$63,'ریز گزارش ارزی'!$AC$8:$AC$63,"&gt;0",'ریز گزارش ارزی'!$AG$8:$AG$63,"قرض",'ریز گزارش ارزی'!$H$8:$H$63,F130,'ریز گزارش ارزی'!$F$8:$F$63,B130,'ریز گزارش ارزی'!$G$8:$G$63,C130,'ریز گزارش ارزی'!$AO$8:$AO$63,D130,'ریز گزارش ارزی'!$AP$8:$AP$63,E130)</f>
        <v>0</v>
      </c>
      <c r="H130" s="146">
        <f>SUMIFS('ریز گزارش ارزی'!$AD$8:$AD$63,'ریز گزارش ارزی'!$AD$8:$AD$63,"&gt;0",'ریز گزارش ارزی'!$AG$8:$AG$63,"قرض",'ریز گزارش ارزی'!$H$8:$H$63,F130,'ریز گزارش ارزی'!$F$8:$F$63,B130,'ریز گزارش ارزی'!$G$8:$G$63,C130,'ریز گزارش ارزی'!$AO$8:$AO$63,D130,'ریز گزارش ارزی'!$AP$8:$AP$63,E130)</f>
        <v>0</v>
      </c>
      <c r="I130" s="146">
        <f>SUMIFS('ریز گزارش ارزی'!$AC$8:$AC$63,'ریز گزارش ارزی'!$AC$8:$AC$63,"&gt;0",'ریز گزارش ارزی'!$AG$8:$AG$63,"عودت قرض",'ریز گزارش ارزی'!$H$8:$H$63,F130,'ریز گزارش ارزی'!$F$8:$F$63,B130,'ریز گزارش ارزی'!$G$8:$G$63,C130,'ریز گزارش ارزی'!$AO$8:$AO$63,D130,'ریز گزارش ارزی'!$AP$8:$AP$63,E130)</f>
        <v>0</v>
      </c>
      <c r="J130" s="146">
        <f>SUMIFS('ریز گزارش ارزی'!$AD$8:$AD$63,'ریز گزارش ارزی'!$AD$8:$AD$63,"&gt;0",'ریز گزارش ارزی'!$AG$8:$AG$63,"عودت قرض",'ریز گزارش ارزی'!$H$8:$H$63,F130,'ریز گزارش ارزی'!$F$8:$F$63,B130,'ریز گزارش ارزی'!$G$8:$G$63,C130,'ریز گزارش ارزی'!$AO$8:$AO$63,D130,'ریز گزارش ارزی'!$AP$8:$AP$63,E130)</f>
        <v>0</v>
      </c>
      <c r="K130" s="63">
        <f t="shared" si="50"/>
        <v>0</v>
      </c>
      <c r="L130" s="63">
        <f t="shared" si="48"/>
        <v>0</v>
      </c>
      <c r="M130" s="64">
        <f t="shared" si="51"/>
        <v>0</v>
      </c>
      <c r="N130" s="65" t="str">
        <f t="shared" si="49"/>
        <v>بی‌حساب</v>
      </c>
    </row>
    <row r="131" spans="2:14" ht="17.25" customHeight="1">
      <c r="B131" s="145" t="s">
        <v>156</v>
      </c>
      <c r="C131" s="60" t="s">
        <v>14</v>
      </c>
      <c r="D131" s="144" t="s">
        <v>9</v>
      </c>
      <c r="E131" s="145" t="s">
        <v>156</v>
      </c>
      <c r="F131" s="145" t="s">
        <v>37</v>
      </c>
      <c r="G131" s="146">
        <f>SUMIFS('ریز گزارش ارزی'!$AC$8:$AC$63,'ریز گزارش ارزی'!$AC$8:$AC$63,"&gt;0",'ریز گزارش ارزی'!$AG$8:$AG$63,"قرض",'ریز گزارش ارزی'!$H$8:$H$63,F131,'ریز گزارش ارزی'!$F$8:$F$63,B131,'ریز گزارش ارزی'!$G$8:$G$63,C131,'ریز گزارش ارزی'!$AO$8:$AO$63,D131,'ریز گزارش ارزی'!$AP$8:$AP$63,E131)</f>
        <v>0</v>
      </c>
      <c r="H131" s="146">
        <f>SUMIFS('ریز گزارش ارزی'!$AD$8:$AD$63,'ریز گزارش ارزی'!$AD$8:$AD$63,"&gt;0",'ریز گزارش ارزی'!$AG$8:$AG$63,"قرض",'ریز گزارش ارزی'!$H$8:$H$63,F131,'ریز گزارش ارزی'!$F$8:$F$63,B131,'ریز گزارش ارزی'!$G$8:$G$63,C131,'ریز گزارش ارزی'!$AO$8:$AO$63,D131,'ریز گزارش ارزی'!$AP$8:$AP$63,E131)</f>
        <v>0</v>
      </c>
      <c r="I131" s="146">
        <f>SUMIFS('ریز گزارش ارزی'!$AC$8:$AC$63,'ریز گزارش ارزی'!$AC$8:$AC$63,"&gt;0",'ریز گزارش ارزی'!$AG$8:$AG$63,"عودت قرض",'ریز گزارش ارزی'!$H$8:$H$63,F131,'ریز گزارش ارزی'!$F$8:$F$63,B131,'ریز گزارش ارزی'!$G$8:$G$63,C131,'ریز گزارش ارزی'!$AO$8:$AO$63,D131,'ریز گزارش ارزی'!$AP$8:$AP$63,E131)</f>
        <v>0</v>
      </c>
      <c r="J131" s="146">
        <f>SUMIFS('ریز گزارش ارزی'!$AD$8:$AD$63,'ریز گزارش ارزی'!$AD$8:$AD$63,"&gt;0",'ریز گزارش ارزی'!$AG$8:$AG$63,"عودت قرض",'ریز گزارش ارزی'!$H$8:$H$63,F131,'ریز گزارش ارزی'!$F$8:$F$63,B131,'ریز گزارش ارزی'!$G$8:$G$63,C131,'ریز گزارش ارزی'!$AO$8:$AO$63,D131,'ریز گزارش ارزی'!$AP$8:$AP$63,E131)</f>
        <v>0</v>
      </c>
      <c r="K131" s="63">
        <f t="shared" si="50"/>
        <v>0</v>
      </c>
      <c r="L131" s="63">
        <f t="shared" si="48"/>
        <v>0</v>
      </c>
      <c r="M131" s="64">
        <f t="shared" si="51"/>
        <v>0</v>
      </c>
      <c r="N131" s="65" t="str">
        <f t="shared" si="49"/>
        <v>بی‌حساب</v>
      </c>
    </row>
    <row r="132" spans="2:14" ht="17.25" customHeight="1">
      <c r="B132" s="145" t="s">
        <v>156</v>
      </c>
      <c r="C132" s="60" t="s">
        <v>14</v>
      </c>
      <c r="D132" s="144" t="s">
        <v>5</v>
      </c>
      <c r="E132" s="145" t="s">
        <v>156</v>
      </c>
      <c r="F132" s="145" t="s">
        <v>37</v>
      </c>
      <c r="G132" s="146">
        <f>SUMIFS('ریز گزارش ارزی'!$AC$8:$AC$63,'ریز گزارش ارزی'!$AC$8:$AC$63,"&gt;0",'ریز گزارش ارزی'!$AG$8:$AG$63,"قرض",'ریز گزارش ارزی'!$H$8:$H$63,F132,'ریز گزارش ارزی'!$F$8:$F$63,B132,'ریز گزارش ارزی'!$G$8:$G$63,C132,'ریز گزارش ارزی'!$AO$8:$AO$63,D132,'ریز گزارش ارزی'!$AP$8:$AP$63,E132)</f>
        <v>0</v>
      </c>
      <c r="H132" s="146">
        <f>SUMIFS('ریز گزارش ارزی'!$AD$8:$AD$63,'ریز گزارش ارزی'!$AD$8:$AD$63,"&gt;0",'ریز گزارش ارزی'!$AG$8:$AG$63,"قرض",'ریز گزارش ارزی'!$H$8:$H$63,F132,'ریز گزارش ارزی'!$F$8:$F$63,B132,'ریز گزارش ارزی'!$G$8:$G$63,C132,'ریز گزارش ارزی'!$AO$8:$AO$63,D132,'ریز گزارش ارزی'!$AP$8:$AP$63,E132)</f>
        <v>0</v>
      </c>
      <c r="I132" s="146">
        <f>SUMIFS('ریز گزارش ارزی'!$AC$8:$AC$63,'ریز گزارش ارزی'!$AC$8:$AC$63,"&gt;0",'ریز گزارش ارزی'!$AG$8:$AG$63,"عودت قرض",'ریز گزارش ارزی'!$H$8:$H$63,F132,'ریز گزارش ارزی'!$F$8:$F$63,B132,'ریز گزارش ارزی'!$G$8:$G$63,C132,'ریز گزارش ارزی'!$AO$8:$AO$63,D132,'ریز گزارش ارزی'!$AP$8:$AP$63,E132)</f>
        <v>0</v>
      </c>
      <c r="J132" s="146">
        <f>SUMIFS('ریز گزارش ارزی'!$AD$8:$AD$63,'ریز گزارش ارزی'!$AD$8:$AD$63,"&gt;0",'ریز گزارش ارزی'!$AG$8:$AG$63,"عودت قرض",'ریز گزارش ارزی'!$H$8:$H$63,F132,'ریز گزارش ارزی'!$F$8:$F$63,B132,'ریز گزارش ارزی'!$G$8:$G$63,C132,'ریز گزارش ارزی'!$AO$8:$AO$63,D132,'ریز گزارش ارزی'!$AP$8:$AP$63,E132)</f>
        <v>0</v>
      </c>
      <c r="K132" s="63">
        <f t="shared" si="50"/>
        <v>0</v>
      </c>
      <c r="L132" s="63">
        <f t="shared" si="48"/>
        <v>0</v>
      </c>
      <c r="M132" s="64">
        <f t="shared" si="51"/>
        <v>0</v>
      </c>
      <c r="N132" s="65" t="str">
        <f t="shared" si="49"/>
        <v>بی‌حساب</v>
      </c>
    </row>
    <row r="133" spans="2:14" ht="17.25" customHeight="1">
      <c r="B133" s="145" t="s">
        <v>156</v>
      </c>
      <c r="C133" s="143" t="s">
        <v>5</v>
      </c>
      <c r="D133" s="55" t="s">
        <v>6</v>
      </c>
      <c r="E133" s="56" t="s">
        <v>156</v>
      </c>
      <c r="F133" s="56" t="s">
        <v>37</v>
      </c>
      <c r="G133" s="62">
        <f>SUMIFS('ریز گزارش ارزی'!$AC$8:$AC$63,'ریز گزارش ارزی'!$AC$8:$AC$63,"&gt;0",'ریز گزارش ارزی'!$AG$8:$AG$63,"قرض",'ریز گزارش ارزی'!$H$8:$H$63,F133,'ریز گزارش ارزی'!$F$8:$F$63,B133,'ریز گزارش ارزی'!$G$8:$G$63,C133,'ریز گزارش ارزی'!$AO$8:$AO$63,D133,'ریز گزارش ارزی'!$AP$8:$AP$63,E133)</f>
        <v>0</v>
      </c>
      <c r="H133" s="62">
        <f>SUMIFS('ریز گزارش ارزی'!$AD$8:$AD$63,'ریز گزارش ارزی'!$AD$8:$AD$63,"&gt;0",'ریز گزارش ارزی'!$AG$8:$AG$63,"قرض",'ریز گزارش ارزی'!$H$8:$H$63,F133,'ریز گزارش ارزی'!$F$8:$F$63,B133,'ریز گزارش ارزی'!$G$8:$G$63,C133,'ریز گزارش ارزی'!$AO$8:$AO$63,D133,'ریز گزارش ارزی'!$AP$8:$AP$63,E133)</f>
        <v>0</v>
      </c>
      <c r="I133" s="62">
        <f>SUMIFS('ریز گزارش ارزی'!$AC$8:$AC$63,'ریز گزارش ارزی'!$AC$8:$AC$63,"&gt;0",'ریز گزارش ارزی'!$AG$8:$AG$63,"عودت قرض",'ریز گزارش ارزی'!$H$8:$H$63,F133,'ریز گزارش ارزی'!$F$8:$F$63,B133,'ریز گزارش ارزی'!$G$8:$G$63,C133,'ریز گزارش ارزی'!$AO$8:$AO$63,D133,'ریز گزارش ارزی'!$AP$8:$AP$63,E133)</f>
        <v>0</v>
      </c>
      <c r="J133" s="62">
        <f>SUMIFS('ریز گزارش ارزی'!$AD$8:$AD$63,'ریز گزارش ارزی'!$AD$8:$AD$63,"&gt;0",'ریز گزارش ارزی'!$AG$8:$AG$63,"عودت قرض",'ریز گزارش ارزی'!$H$8:$H$63,F133,'ریز گزارش ارزی'!$F$8:$F$63,B133,'ریز گزارش ارزی'!$G$8:$G$63,C133,'ریز گزارش ارزی'!$AO$8:$AO$63,D133,'ریز گزارش ارزی'!$AP$8:$AP$63,E133)</f>
        <v>0</v>
      </c>
      <c r="K133" s="63">
        <f t="shared" si="50"/>
        <v>0</v>
      </c>
      <c r="L133" s="63">
        <f t="shared" si="48"/>
        <v>0</v>
      </c>
      <c r="M133" s="64">
        <f t="shared" si="51"/>
        <v>0</v>
      </c>
      <c r="N133" s="65" t="str">
        <f t="shared" si="49"/>
        <v>بی‌حساب</v>
      </c>
    </row>
    <row r="134" spans="2:14" ht="17.25" customHeight="1">
      <c r="B134" s="145" t="s">
        <v>156</v>
      </c>
      <c r="C134" s="143" t="s">
        <v>5</v>
      </c>
      <c r="D134" s="55" t="s">
        <v>0</v>
      </c>
      <c r="E134" s="56" t="s">
        <v>156</v>
      </c>
      <c r="F134" s="56" t="s">
        <v>37</v>
      </c>
      <c r="G134" s="62">
        <f>SUMIFS('ریز گزارش ارزی'!$AC$8:$AC$63,'ریز گزارش ارزی'!$AC$8:$AC$63,"&gt;0",'ریز گزارش ارزی'!$AG$8:$AG$63,"قرض",'ریز گزارش ارزی'!$H$8:$H$63,F134,'ریز گزارش ارزی'!$F$8:$F$63,B134,'ریز گزارش ارزی'!$G$8:$G$63,C134,'ریز گزارش ارزی'!$AO$8:$AO$63,D134,'ریز گزارش ارزی'!$AP$8:$AP$63,E134)</f>
        <v>0</v>
      </c>
      <c r="H134" s="62">
        <f>SUMIFS('ریز گزارش ارزی'!$AD$8:$AD$63,'ریز گزارش ارزی'!$AD$8:$AD$63,"&gt;0",'ریز گزارش ارزی'!$AG$8:$AG$63,"قرض",'ریز گزارش ارزی'!$H$8:$H$63,F134,'ریز گزارش ارزی'!$F$8:$F$63,B134,'ریز گزارش ارزی'!$G$8:$G$63,C134,'ریز گزارش ارزی'!$AO$8:$AO$63,D134,'ریز گزارش ارزی'!$AP$8:$AP$63,E134)</f>
        <v>0</v>
      </c>
      <c r="I134" s="62">
        <f>SUMIFS('ریز گزارش ارزی'!$AC$8:$AC$63,'ریز گزارش ارزی'!$AC$8:$AC$63,"&gt;0",'ریز گزارش ارزی'!$AG$8:$AG$63,"عودت قرض",'ریز گزارش ارزی'!$H$8:$H$63,F134,'ریز گزارش ارزی'!$F$8:$F$63,B134,'ریز گزارش ارزی'!$G$8:$G$63,C134,'ریز گزارش ارزی'!$AO$8:$AO$63,D134,'ریز گزارش ارزی'!$AP$8:$AP$63,E134)</f>
        <v>0</v>
      </c>
      <c r="J134" s="62">
        <f>SUMIFS('ریز گزارش ارزی'!$AD$8:$AD$63,'ریز گزارش ارزی'!$AD$8:$AD$63,"&gt;0",'ریز گزارش ارزی'!$AG$8:$AG$63,"عودت قرض",'ریز گزارش ارزی'!$H$8:$H$63,F134,'ریز گزارش ارزی'!$F$8:$F$63,B134,'ریز گزارش ارزی'!$G$8:$G$63,C134,'ریز گزارش ارزی'!$AO$8:$AO$63,D134,'ریز گزارش ارزی'!$AP$8:$AP$63,E134)</f>
        <v>0</v>
      </c>
      <c r="K134" s="63">
        <f t="shared" si="50"/>
        <v>0</v>
      </c>
      <c r="L134" s="63">
        <f t="shared" si="48"/>
        <v>0</v>
      </c>
      <c r="M134" s="64">
        <f t="shared" si="51"/>
        <v>0</v>
      </c>
      <c r="N134" s="65" t="str">
        <f t="shared" si="49"/>
        <v>بی‌حساب</v>
      </c>
    </row>
    <row r="135" spans="2:14" ht="17.25" customHeight="1">
      <c r="B135" s="145" t="s">
        <v>156</v>
      </c>
      <c r="C135" s="143" t="s">
        <v>5</v>
      </c>
      <c r="D135" s="55" t="s">
        <v>1</v>
      </c>
      <c r="E135" s="56" t="s">
        <v>156</v>
      </c>
      <c r="F135" s="56" t="s">
        <v>37</v>
      </c>
      <c r="G135" s="62">
        <f>SUMIFS('ریز گزارش ارزی'!$AC$8:$AC$63,'ریز گزارش ارزی'!$AC$8:$AC$63,"&gt;0",'ریز گزارش ارزی'!$AG$8:$AG$63,"قرض",'ریز گزارش ارزی'!$H$8:$H$63,F135,'ریز گزارش ارزی'!$F$8:$F$63,B135,'ریز گزارش ارزی'!$G$8:$G$63,C135,'ریز گزارش ارزی'!$AO$8:$AO$63,D135,'ریز گزارش ارزی'!$AP$8:$AP$63,E135)</f>
        <v>0</v>
      </c>
      <c r="H135" s="62">
        <f>SUMIFS('ریز گزارش ارزی'!$AD$8:$AD$63,'ریز گزارش ارزی'!$AD$8:$AD$63,"&gt;0",'ریز گزارش ارزی'!$AG$8:$AG$63,"قرض",'ریز گزارش ارزی'!$H$8:$H$63,F135,'ریز گزارش ارزی'!$F$8:$F$63,B135,'ریز گزارش ارزی'!$G$8:$G$63,C135,'ریز گزارش ارزی'!$AO$8:$AO$63,D135,'ریز گزارش ارزی'!$AP$8:$AP$63,E135)</f>
        <v>0</v>
      </c>
      <c r="I135" s="62">
        <f>SUMIFS('ریز گزارش ارزی'!$AC$8:$AC$63,'ریز گزارش ارزی'!$AC$8:$AC$63,"&gt;0",'ریز گزارش ارزی'!$AG$8:$AG$63,"عودت قرض",'ریز گزارش ارزی'!$H$8:$H$63,F135,'ریز گزارش ارزی'!$F$8:$F$63,B135,'ریز گزارش ارزی'!$G$8:$G$63,C135,'ریز گزارش ارزی'!$AO$8:$AO$63,D135,'ریز گزارش ارزی'!$AP$8:$AP$63,E135)</f>
        <v>0</v>
      </c>
      <c r="J135" s="62">
        <f>SUMIFS('ریز گزارش ارزی'!$AD$8:$AD$63,'ریز گزارش ارزی'!$AD$8:$AD$63,"&gt;0",'ریز گزارش ارزی'!$AG$8:$AG$63,"عودت قرض",'ریز گزارش ارزی'!$H$8:$H$63,F135,'ریز گزارش ارزی'!$F$8:$F$63,B135,'ریز گزارش ارزی'!$G$8:$G$63,C135,'ریز گزارش ارزی'!$AO$8:$AO$63,D135,'ریز گزارش ارزی'!$AP$8:$AP$63,E135)</f>
        <v>0</v>
      </c>
      <c r="K135" s="63">
        <f t="shared" si="50"/>
        <v>0</v>
      </c>
      <c r="L135" s="63">
        <f t="shared" si="48"/>
        <v>0</v>
      </c>
      <c r="M135" s="64">
        <f t="shared" si="51"/>
        <v>0</v>
      </c>
      <c r="N135" s="65" t="str">
        <f t="shared" si="49"/>
        <v>بی‌حساب</v>
      </c>
    </row>
    <row r="136" spans="2:14" ht="17.25" customHeight="1">
      <c r="B136" s="145" t="s">
        <v>156</v>
      </c>
      <c r="C136" s="143" t="s">
        <v>5</v>
      </c>
      <c r="D136" s="55" t="s">
        <v>3</v>
      </c>
      <c r="E136" s="56" t="s">
        <v>156</v>
      </c>
      <c r="F136" s="56" t="s">
        <v>37</v>
      </c>
      <c r="G136" s="62">
        <f>SUMIFS('ریز گزارش ارزی'!$AC$8:$AC$63,'ریز گزارش ارزی'!$AC$8:$AC$63,"&gt;0",'ریز گزارش ارزی'!$AG$8:$AG$63,"قرض",'ریز گزارش ارزی'!$H$8:$H$63,F136,'ریز گزارش ارزی'!$F$8:$F$63,B136,'ریز گزارش ارزی'!$G$8:$G$63,C136,'ریز گزارش ارزی'!$AO$8:$AO$63,D136,'ریز گزارش ارزی'!$AP$8:$AP$63,E136)</f>
        <v>0</v>
      </c>
      <c r="H136" s="62">
        <f>SUMIFS('ریز گزارش ارزی'!$AD$8:$AD$63,'ریز گزارش ارزی'!$AD$8:$AD$63,"&gt;0",'ریز گزارش ارزی'!$AG$8:$AG$63,"قرض",'ریز گزارش ارزی'!$H$8:$H$63,F136,'ریز گزارش ارزی'!$F$8:$F$63,B136,'ریز گزارش ارزی'!$G$8:$G$63,C136,'ریز گزارش ارزی'!$AO$8:$AO$63,D136,'ریز گزارش ارزی'!$AP$8:$AP$63,E136)</f>
        <v>0</v>
      </c>
      <c r="I136" s="62">
        <f>SUMIFS('ریز گزارش ارزی'!$AC$8:$AC$63,'ریز گزارش ارزی'!$AC$8:$AC$63,"&gt;0",'ریز گزارش ارزی'!$AG$8:$AG$63,"عودت قرض",'ریز گزارش ارزی'!$H$8:$H$63,F136,'ریز گزارش ارزی'!$F$8:$F$63,B136,'ریز گزارش ارزی'!$G$8:$G$63,C136,'ریز گزارش ارزی'!$AO$8:$AO$63,D136,'ریز گزارش ارزی'!$AP$8:$AP$63,E136)</f>
        <v>0</v>
      </c>
      <c r="J136" s="62">
        <f>SUMIFS('ریز گزارش ارزی'!$AD$8:$AD$63,'ریز گزارش ارزی'!$AD$8:$AD$63,"&gt;0",'ریز گزارش ارزی'!$AG$8:$AG$63,"عودت قرض",'ریز گزارش ارزی'!$H$8:$H$63,F136,'ریز گزارش ارزی'!$F$8:$F$63,B136,'ریز گزارش ارزی'!$G$8:$G$63,C136,'ریز گزارش ارزی'!$AO$8:$AO$63,D136,'ریز گزارش ارزی'!$AP$8:$AP$63,E136)</f>
        <v>0</v>
      </c>
      <c r="K136" s="63">
        <f t="shared" si="50"/>
        <v>0</v>
      </c>
      <c r="L136" s="63">
        <f t="shared" si="48"/>
        <v>0</v>
      </c>
      <c r="M136" s="64">
        <f t="shared" si="51"/>
        <v>0</v>
      </c>
      <c r="N136" s="65" t="str">
        <f t="shared" si="49"/>
        <v>بی‌حساب</v>
      </c>
    </row>
    <row r="137" spans="2:14" ht="17.25" customHeight="1">
      <c r="B137" s="145" t="s">
        <v>156</v>
      </c>
      <c r="C137" s="143" t="s">
        <v>5</v>
      </c>
      <c r="D137" s="55" t="s">
        <v>9</v>
      </c>
      <c r="E137" s="56" t="s">
        <v>156</v>
      </c>
      <c r="F137" s="56" t="s">
        <v>37</v>
      </c>
      <c r="G137" s="62">
        <f>SUMIFS('ریز گزارش ارزی'!$AC$8:$AC$63,'ریز گزارش ارزی'!$AC$8:$AC$63,"&gt;0",'ریز گزارش ارزی'!$AG$8:$AG$63,"قرض",'ریز گزارش ارزی'!$H$8:$H$63,F137,'ریز گزارش ارزی'!$F$8:$F$63,B137,'ریز گزارش ارزی'!$G$8:$G$63,C137,'ریز گزارش ارزی'!$AO$8:$AO$63,D137,'ریز گزارش ارزی'!$AP$8:$AP$63,E137)</f>
        <v>0</v>
      </c>
      <c r="H137" s="62">
        <f>SUMIFS('ریز گزارش ارزی'!$AD$8:$AD$63,'ریز گزارش ارزی'!$AD$8:$AD$63,"&gt;0",'ریز گزارش ارزی'!$AG$8:$AG$63,"قرض",'ریز گزارش ارزی'!$H$8:$H$63,F137,'ریز گزارش ارزی'!$F$8:$F$63,B137,'ریز گزارش ارزی'!$G$8:$G$63,C137,'ریز گزارش ارزی'!$AO$8:$AO$63,D137,'ریز گزارش ارزی'!$AP$8:$AP$63,E137)</f>
        <v>0</v>
      </c>
      <c r="I137" s="62">
        <f>SUMIFS('ریز گزارش ارزی'!$AC$8:$AC$63,'ریز گزارش ارزی'!$AC$8:$AC$63,"&gt;0",'ریز گزارش ارزی'!$AG$8:$AG$63,"عودت قرض",'ریز گزارش ارزی'!$H$8:$H$63,F137,'ریز گزارش ارزی'!$F$8:$F$63,B137,'ریز گزارش ارزی'!$G$8:$G$63,C137,'ریز گزارش ارزی'!$AO$8:$AO$63,D137,'ریز گزارش ارزی'!$AP$8:$AP$63,E137)</f>
        <v>0</v>
      </c>
      <c r="J137" s="62">
        <f>SUMIFS('ریز گزارش ارزی'!$AD$8:$AD$63,'ریز گزارش ارزی'!$AD$8:$AD$63,"&gt;0",'ریز گزارش ارزی'!$AG$8:$AG$63,"عودت قرض",'ریز گزارش ارزی'!$H$8:$H$63,F137,'ریز گزارش ارزی'!$F$8:$F$63,B137,'ریز گزارش ارزی'!$G$8:$G$63,C137,'ریز گزارش ارزی'!$AO$8:$AO$63,D137,'ریز گزارش ارزی'!$AP$8:$AP$63,E137)</f>
        <v>0</v>
      </c>
      <c r="K137" s="63">
        <f t="shared" si="50"/>
        <v>0</v>
      </c>
      <c r="L137" s="63">
        <f t="shared" si="48"/>
        <v>0</v>
      </c>
      <c r="M137" s="64">
        <f t="shared" si="51"/>
        <v>0</v>
      </c>
      <c r="N137" s="65" t="str">
        <f t="shared" si="49"/>
        <v>بی‌حساب</v>
      </c>
    </row>
    <row r="138" spans="2:14" ht="17.25" customHeight="1">
      <c r="B138" s="145" t="s">
        <v>156</v>
      </c>
      <c r="C138" s="143" t="s">
        <v>5</v>
      </c>
      <c r="D138" s="55" t="s">
        <v>14</v>
      </c>
      <c r="E138" s="56" t="s">
        <v>156</v>
      </c>
      <c r="F138" s="56" t="s">
        <v>37</v>
      </c>
      <c r="G138" s="62">
        <f>SUMIFS('ریز گزارش ارزی'!$AC$8:$AC$63,'ریز گزارش ارزی'!$AC$8:$AC$63,"&gt;0",'ریز گزارش ارزی'!$AG$8:$AG$63,"قرض",'ریز گزارش ارزی'!$H$8:$H$63,F138,'ریز گزارش ارزی'!$F$8:$F$63,B138,'ریز گزارش ارزی'!$G$8:$G$63,C138,'ریز گزارش ارزی'!$AO$8:$AO$63,D138,'ریز گزارش ارزی'!$AP$8:$AP$63,E138)</f>
        <v>0</v>
      </c>
      <c r="H138" s="62">
        <f>SUMIFS('ریز گزارش ارزی'!$AD$8:$AD$63,'ریز گزارش ارزی'!$AD$8:$AD$63,"&gt;0",'ریز گزارش ارزی'!$AG$8:$AG$63,"قرض",'ریز گزارش ارزی'!$H$8:$H$63,F138,'ریز گزارش ارزی'!$F$8:$F$63,B138,'ریز گزارش ارزی'!$G$8:$G$63,C138,'ریز گزارش ارزی'!$AO$8:$AO$63,D138,'ریز گزارش ارزی'!$AP$8:$AP$63,E138)</f>
        <v>0</v>
      </c>
      <c r="I138" s="62">
        <f>SUMIFS('ریز گزارش ارزی'!$AC$8:$AC$63,'ریز گزارش ارزی'!$AC$8:$AC$63,"&gt;0",'ریز گزارش ارزی'!$AG$8:$AG$63,"عودت قرض",'ریز گزارش ارزی'!$H$8:$H$63,F138,'ریز گزارش ارزی'!$F$8:$F$63,B138,'ریز گزارش ارزی'!$G$8:$G$63,C138,'ریز گزارش ارزی'!$AO$8:$AO$63,D138,'ریز گزارش ارزی'!$AP$8:$AP$63,E138)</f>
        <v>0</v>
      </c>
      <c r="J138" s="62">
        <f>SUMIFS('ریز گزارش ارزی'!$AD$8:$AD$63,'ریز گزارش ارزی'!$AD$8:$AD$63,"&gt;0",'ریز گزارش ارزی'!$AG$8:$AG$63,"عودت قرض",'ریز گزارش ارزی'!$H$8:$H$63,F138,'ریز گزارش ارزی'!$F$8:$F$63,B138,'ریز گزارش ارزی'!$G$8:$G$63,C138,'ریز گزارش ارزی'!$AO$8:$AO$63,D138,'ریز گزارش ارزی'!$AP$8:$AP$63,E138)</f>
        <v>0</v>
      </c>
      <c r="K138" s="63">
        <f t="shared" si="50"/>
        <v>0</v>
      </c>
      <c r="L138" s="63">
        <f t="shared" si="48"/>
        <v>0</v>
      </c>
      <c r="M138" s="64">
        <f t="shared" si="51"/>
        <v>0</v>
      </c>
      <c r="N138" s="65" t="str">
        <f t="shared" si="49"/>
        <v>بی‌حساب</v>
      </c>
    </row>
    <row r="139" spans="2:14" ht="17.25" customHeight="1">
      <c r="B139" s="145" t="s">
        <v>156</v>
      </c>
      <c r="C139" s="58" t="s">
        <v>6</v>
      </c>
      <c r="D139" s="144" t="s">
        <v>6</v>
      </c>
      <c r="E139" s="145" t="s">
        <v>148</v>
      </c>
      <c r="F139" s="145" t="s">
        <v>37</v>
      </c>
      <c r="G139" s="146">
        <f>SUMIFS('ریز گزارش ارزی'!$AC$8:$AC$63,'ریز گزارش ارزی'!$AC$8:$AC$63,"&gt;0",'ریز گزارش ارزی'!$AG$8:$AG$63,"قرض",'ریز گزارش ارزی'!$H$8:$H$63,F139,'ریز گزارش ارزی'!$F$8:$F$63,B139,'ریز گزارش ارزی'!$G$8:$G$63,C139,'ریز گزارش ارزی'!$AO$8:$AO$63,D139,'ریز گزارش ارزی'!$AP$8:$AP$63,E139)</f>
        <v>0</v>
      </c>
      <c r="H139" s="146">
        <f>SUMIFS('ریز گزارش ارزی'!$AD$8:$AD$63,'ریز گزارش ارزی'!$AD$8:$AD$63,"&gt;0",'ریز گزارش ارزی'!$AG$8:$AG$63,"قرض",'ریز گزارش ارزی'!$H$8:$H$63,F139,'ریز گزارش ارزی'!$F$8:$F$63,B139,'ریز گزارش ارزی'!$G$8:$G$63,C139,'ریز گزارش ارزی'!$AO$8:$AO$63,D139,'ریز گزارش ارزی'!$AP$8:$AP$63,E139)</f>
        <v>7</v>
      </c>
      <c r="I139" s="146">
        <f>SUMIFS('ریز گزارش ارزی'!$AC$8:$AC$63,'ریز گزارش ارزی'!$AC$8:$AC$63,"&gt;0",'ریز گزارش ارزی'!$AG$8:$AG$63,"عودت قرض",'ریز گزارش ارزی'!$H$8:$H$63,F139,'ریز گزارش ارزی'!$F$8:$F$63,B139,'ریز گزارش ارزی'!$G$8:$G$63,C139,'ریز گزارش ارزی'!$AO$8:$AO$63,D139,'ریز گزارش ارزی'!$AP$8:$AP$63,E139)</f>
        <v>0</v>
      </c>
      <c r="J139" s="146">
        <f>SUMIFS('ریز گزارش ارزی'!$AD$8:$AD$63,'ریز گزارش ارزی'!$AD$8:$AD$63,"&gt;0",'ریز گزارش ارزی'!$AG$8:$AG$63,"عودت قرض",'ریز گزارش ارزی'!$H$8:$H$63,F139,'ریز گزارش ارزی'!$F$8:$F$63,B139,'ریز گزارش ارزی'!$G$8:$G$63,C139,'ریز گزارش ارزی'!$AO$8:$AO$63,D139,'ریز گزارش ارزی'!$AP$8:$AP$63,E139)</f>
        <v>0</v>
      </c>
      <c r="K139" s="63">
        <f>H139-I139</f>
        <v>7</v>
      </c>
      <c r="L139" s="63">
        <f t="shared" si="48"/>
        <v>0</v>
      </c>
      <c r="M139" s="64">
        <f>K139-L139</f>
        <v>7</v>
      </c>
      <c r="N139" s="65" t="str">
        <f t="shared" si="49"/>
        <v>طلبکار</v>
      </c>
    </row>
    <row r="140" spans="2:14" ht="17.25" customHeight="1">
      <c r="B140" s="145" t="s">
        <v>156</v>
      </c>
      <c r="C140" s="58" t="s">
        <v>6</v>
      </c>
      <c r="D140" s="144" t="s">
        <v>0</v>
      </c>
      <c r="E140" s="145" t="s">
        <v>148</v>
      </c>
      <c r="F140" s="145" t="s">
        <v>37</v>
      </c>
      <c r="G140" s="146">
        <f>SUMIFS('ریز گزارش ارزی'!$AC$8:$AC$63,'ریز گزارش ارزی'!$AC$8:$AC$63,"&gt;0",'ریز گزارش ارزی'!$AG$8:$AG$63,"قرض",'ریز گزارش ارزی'!$H$8:$H$63,F140,'ریز گزارش ارزی'!$F$8:$F$63,B140,'ریز گزارش ارزی'!$G$8:$G$63,C140,'ریز گزارش ارزی'!$AO$8:$AO$63,D140,'ریز گزارش ارزی'!$AP$8:$AP$63,E140)</f>
        <v>0</v>
      </c>
      <c r="H140" s="146">
        <f>SUMIFS('ریز گزارش ارزی'!$AD$8:$AD$63,'ریز گزارش ارزی'!$AD$8:$AD$63,"&gt;0",'ریز گزارش ارزی'!$AG$8:$AG$63,"قرض",'ریز گزارش ارزی'!$H$8:$H$63,F140,'ریز گزارش ارزی'!$F$8:$F$63,B140,'ریز گزارش ارزی'!$G$8:$G$63,C140,'ریز گزارش ارزی'!$AO$8:$AO$63,D140,'ریز گزارش ارزی'!$AP$8:$AP$63,E140)</f>
        <v>0</v>
      </c>
      <c r="I140" s="146">
        <f>SUMIFS('ریز گزارش ارزی'!$AC$8:$AC$63,'ریز گزارش ارزی'!$AC$8:$AC$63,"&gt;0",'ریز گزارش ارزی'!$AG$8:$AG$63,"عودت قرض",'ریز گزارش ارزی'!$H$8:$H$63,F140,'ریز گزارش ارزی'!$F$8:$F$63,B140,'ریز گزارش ارزی'!$G$8:$G$63,C140,'ریز گزارش ارزی'!$AO$8:$AO$63,D140,'ریز گزارش ارزی'!$AP$8:$AP$63,E140)</f>
        <v>0</v>
      </c>
      <c r="J140" s="146">
        <f>SUMIFS('ریز گزارش ارزی'!$AD$8:$AD$63,'ریز گزارش ارزی'!$AD$8:$AD$63,"&gt;0",'ریز گزارش ارزی'!$AG$8:$AG$63,"عودت قرض",'ریز گزارش ارزی'!$H$8:$H$63,F140,'ریز گزارش ارزی'!$F$8:$F$63,B140,'ریز گزارش ارزی'!$G$8:$G$63,C140,'ریز گزارش ارزی'!$AO$8:$AO$63,D140,'ریز گزارش ارزی'!$AP$8:$AP$63,E140)</f>
        <v>0</v>
      </c>
      <c r="K140" s="63">
        <f>H140-I140</f>
        <v>0</v>
      </c>
      <c r="L140" s="63">
        <f t="shared" si="48"/>
        <v>0</v>
      </c>
      <c r="M140" s="64">
        <f>K140-L140</f>
        <v>0</v>
      </c>
      <c r="N140" s="65" t="str">
        <f t="shared" si="49"/>
        <v>بی‌حساب</v>
      </c>
    </row>
    <row r="141" spans="2:14" ht="17.25" customHeight="1">
      <c r="B141" s="145" t="s">
        <v>156</v>
      </c>
      <c r="C141" s="58" t="s">
        <v>6</v>
      </c>
      <c r="D141" s="144" t="s">
        <v>1</v>
      </c>
      <c r="E141" s="145" t="s">
        <v>148</v>
      </c>
      <c r="F141" s="145" t="s">
        <v>37</v>
      </c>
      <c r="G141" s="146">
        <f>SUMIFS('ریز گزارش ارزی'!$AC$8:$AC$63,'ریز گزارش ارزی'!$AC$8:$AC$63,"&gt;0",'ریز گزارش ارزی'!$AG$8:$AG$63,"قرض",'ریز گزارش ارزی'!$H$8:$H$63,F141,'ریز گزارش ارزی'!$F$8:$F$63,B141,'ریز گزارش ارزی'!$G$8:$G$63,C141,'ریز گزارش ارزی'!$AO$8:$AO$63,D141,'ریز گزارش ارزی'!$AP$8:$AP$63,E141)</f>
        <v>0</v>
      </c>
      <c r="H141" s="146">
        <f>SUMIFS('ریز گزارش ارزی'!$AD$8:$AD$63,'ریز گزارش ارزی'!$AD$8:$AD$63,"&gt;0",'ریز گزارش ارزی'!$AG$8:$AG$63,"قرض",'ریز گزارش ارزی'!$H$8:$H$63,F141,'ریز گزارش ارزی'!$F$8:$F$63,B141,'ریز گزارش ارزی'!$G$8:$G$63,C141,'ریز گزارش ارزی'!$AO$8:$AO$63,D141,'ریز گزارش ارزی'!$AP$8:$AP$63,E141)</f>
        <v>0</v>
      </c>
      <c r="I141" s="146">
        <f>SUMIFS('ریز گزارش ارزی'!$AC$8:$AC$63,'ریز گزارش ارزی'!$AC$8:$AC$63,"&gt;0",'ریز گزارش ارزی'!$AG$8:$AG$63,"عودت قرض",'ریز گزارش ارزی'!$H$8:$H$63,F141,'ریز گزارش ارزی'!$F$8:$F$63,B141,'ریز گزارش ارزی'!$G$8:$G$63,C141,'ریز گزارش ارزی'!$AO$8:$AO$63,D141,'ریز گزارش ارزی'!$AP$8:$AP$63,E141)</f>
        <v>0</v>
      </c>
      <c r="J141" s="146">
        <f>SUMIFS('ریز گزارش ارزی'!$AD$8:$AD$63,'ریز گزارش ارزی'!$AD$8:$AD$63,"&gt;0",'ریز گزارش ارزی'!$AG$8:$AG$63,"عودت قرض",'ریز گزارش ارزی'!$H$8:$H$63,F141,'ریز گزارش ارزی'!$F$8:$F$63,B141,'ریز گزارش ارزی'!$G$8:$G$63,C141,'ریز گزارش ارزی'!$AO$8:$AO$63,D141,'ریز گزارش ارزی'!$AP$8:$AP$63,E141)</f>
        <v>0</v>
      </c>
      <c r="K141" s="63">
        <f t="shared" ref="K141:K187" si="52">H141-I141</f>
        <v>0</v>
      </c>
      <c r="L141" s="63">
        <f t="shared" si="48"/>
        <v>0</v>
      </c>
      <c r="M141" s="64">
        <f t="shared" ref="M141:M187" si="53">K141-L141</f>
        <v>0</v>
      </c>
      <c r="N141" s="65" t="str">
        <f t="shared" si="49"/>
        <v>بی‌حساب</v>
      </c>
    </row>
    <row r="142" spans="2:14" ht="17.25" customHeight="1">
      <c r="B142" s="145" t="s">
        <v>156</v>
      </c>
      <c r="C142" s="58" t="s">
        <v>6</v>
      </c>
      <c r="D142" s="144" t="s">
        <v>3</v>
      </c>
      <c r="E142" s="145" t="s">
        <v>148</v>
      </c>
      <c r="F142" s="145" t="s">
        <v>37</v>
      </c>
      <c r="G142" s="146">
        <f>SUMIFS('ریز گزارش ارزی'!$AC$8:$AC$63,'ریز گزارش ارزی'!$AC$8:$AC$63,"&gt;0",'ریز گزارش ارزی'!$AG$8:$AG$63,"قرض",'ریز گزارش ارزی'!$H$8:$H$63,F142,'ریز گزارش ارزی'!$F$8:$F$63,B142,'ریز گزارش ارزی'!$G$8:$G$63,C142,'ریز گزارش ارزی'!$AO$8:$AO$63,D142,'ریز گزارش ارزی'!$AP$8:$AP$63,E142)</f>
        <v>0</v>
      </c>
      <c r="H142" s="146">
        <f>SUMIFS('ریز گزارش ارزی'!$AD$8:$AD$63,'ریز گزارش ارزی'!$AD$8:$AD$63,"&gt;0",'ریز گزارش ارزی'!$AG$8:$AG$63,"قرض",'ریز گزارش ارزی'!$H$8:$H$63,F142,'ریز گزارش ارزی'!$F$8:$F$63,B142,'ریز گزارش ارزی'!$G$8:$G$63,C142,'ریز گزارش ارزی'!$AO$8:$AO$63,D142,'ریز گزارش ارزی'!$AP$8:$AP$63,E142)</f>
        <v>0</v>
      </c>
      <c r="I142" s="146">
        <f>SUMIFS('ریز گزارش ارزی'!$AC$8:$AC$63,'ریز گزارش ارزی'!$AC$8:$AC$63,"&gt;0",'ریز گزارش ارزی'!$AG$8:$AG$63,"عودت قرض",'ریز گزارش ارزی'!$H$8:$H$63,F142,'ریز گزارش ارزی'!$F$8:$F$63,B142,'ریز گزارش ارزی'!$G$8:$G$63,C142,'ریز گزارش ارزی'!$AO$8:$AO$63,D142,'ریز گزارش ارزی'!$AP$8:$AP$63,E142)</f>
        <v>0</v>
      </c>
      <c r="J142" s="146">
        <f>SUMIFS('ریز گزارش ارزی'!$AD$8:$AD$63,'ریز گزارش ارزی'!$AD$8:$AD$63,"&gt;0",'ریز گزارش ارزی'!$AG$8:$AG$63,"عودت قرض",'ریز گزارش ارزی'!$H$8:$H$63,F142,'ریز گزارش ارزی'!$F$8:$F$63,B142,'ریز گزارش ارزی'!$G$8:$G$63,C142,'ریز گزارش ارزی'!$AO$8:$AO$63,D142,'ریز گزارش ارزی'!$AP$8:$AP$63,E142)</f>
        <v>0</v>
      </c>
      <c r="K142" s="63">
        <f t="shared" si="52"/>
        <v>0</v>
      </c>
      <c r="L142" s="63">
        <f t="shared" si="48"/>
        <v>0</v>
      </c>
      <c r="M142" s="64">
        <f t="shared" si="53"/>
        <v>0</v>
      </c>
      <c r="N142" s="65" t="str">
        <f t="shared" si="49"/>
        <v>بی‌حساب</v>
      </c>
    </row>
    <row r="143" spans="2:14" ht="17.25" customHeight="1">
      <c r="B143" s="145" t="s">
        <v>156</v>
      </c>
      <c r="C143" s="58" t="s">
        <v>6</v>
      </c>
      <c r="D143" s="144" t="s">
        <v>9</v>
      </c>
      <c r="E143" s="145" t="s">
        <v>148</v>
      </c>
      <c r="F143" s="145" t="s">
        <v>37</v>
      </c>
      <c r="G143" s="146">
        <f>SUMIFS('ریز گزارش ارزی'!$AC$8:$AC$63,'ریز گزارش ارزی'!$AC$8:$AC$63,"&gt;0",'ریز گزارش ارزی'!$AG$8:$AG$63,"قرض",'ریز گزارش ارزی'!$H$8:$H$63,F143,'ریز گزارش ارزی'!$F$8:$F$63,B143,'ریز گزارش ارزی'!$G$8:$G$63,C143,'ریز گزارش ارزی'!$AO$8:$AO$63,D143,'ریز گزارش ارزی'!$AP$8:$AP$63,E143)</f>
        <v>0</v>
      </c>
      <c r="H143" s="146">
        <f>SUMIFS('ریز گزارش ارزی'!$AD$8:$AD$63,'ریز گزارش ارزی'!$AD$8:$AD$63,"&gt;0",'ریز گزارش ارزی'!$AG$8:$AG$63,"قرض",'ریز گزارش ارزی'!$H$8:$H$63,F143,'ریز گزارش ارزی'!$F$8:$F$63,B143,'ریز گزارش ارزی'!$G$8:$G$63,C143,'ریز گزارش ارزی'!$AO$8:$AO$63,D143,'ریز گزارش ارزی'!$AP$8:$AP$63,E143)</f>
        <v>0</v>
      </c>
      <c r="I143" s="146">
        <f>SUMIFS('ریز گزارش ارزی'!$AC$8:$AC$63,'ریز گزارش ارزی'!$AC$8:$AC$63,"&gt;0",'ریز گزارش ارزی'!$AG$8:$AG$63,"عودت قرض",'ریز گزارش ارزی'!$H$8:$H$63,F143,'ریز گزارش ارزی'!$F$8:$F$63,B143,'ریز گزارش ارزی'!$G$8:$G$63,C143,'ریز گزارش ارزی'!$AO$8:$AO$63,D143,'ریز گزارش ارزی'!$AP$8:$AP$63,E143)</f>
        <v>0</v>
      </c>
      <c r="J143" s="146">
        <f>SUMIFS('ریز گزارش ارزی'!$AD$8:$AD$63,'ریز گزارش ارزی'!$AD$8:$AD$63,"&gt;0",'ریز گزارش ارزی'!$AG$8:$AG$63,"عودت قرض",'ریز گزارش ارزی'!$H$8:$H$63,F143,'ریز گزارش ارزی'!$F$8:$F$63,B143,'ریز گزارش ارزی'!$G$8:$G$63,C143,'ریز گزارش ارزی'!$AO$8:$AO$63,D143,'ریز گزارش ارزی'!$AP$8:$AP$63,E143)</f>
        <v>0</v>
      </c>
      <c r="K143" s="63">
        <f t="shared" si="52"/>
        <v>0</v>
      </c>
      <c r="L143" s="63">
        <f t="shared" si="48"/>
        <v>0</v>
      </c>
      <c r="M143" s="64">
        <f t="shared" si="53"/>
        <v>0</v>
      </c>
      <c r="N143" s="65" t="str">
        <f t="shared" si="49"/>
        <v>بی‌حساب</v>
      </c>
    </row>
    <row r="144" spans="2:14" ht="17.25" customHeight="1">
      <c r="B144" s="145" t="s">
        <v>156</v>
      </c>
      <c r="C144" s="58" t="s">
        <v>6</v>
      </c>
      <c r="D144" s="144" t="s">
        <v>14</v>
      </c>
      <c r="E144" s="145" t="s">
        <v>148</v>
      </c>
      <c r="F144" s="145" t="s">
        <v>37</v>
      </c>
      <c r="G144" s="146">
        <f>SUMIFS('ریز گزارش ارزی'!$AC$8:$AC$63,'ریز گزارش ارزی'!$AC$8:$AC$63,"&gt;0",'ریز گزارش ارزی'!$AG$8:$AG$63,"قرض",'ریز گزارش ارزی'!$H$8:$H$63,F144,'ریز گزارش ارزی'!$F$8:$F$63,B144,'ریز گزارش ارزی'!$G$8:$G$63,C144,'ریز گزارش ارزی'!$AO$8:$AO$63,D144,'ریز گزارش ارزی'!$AP$8:$AP$63,E144)</f>
        <v>0</v>
      </c>
      <c r="H144" s="146">
        <f>SUMIFS('ریز گزارش ارزی'!$AD$8:$AD$63,'ریز گزارش ارزی'!$AD$8:$AD$63,"&gt;0",'ریز گزارش ارزی'!$AG$8:$AG$63,"قرض",'ریز گزارش ارزی'!$H$8:$H$63,F144,'ریز گزارش ارزی'!$F$8:$F$63,B144,'ریز گزارش ارزی'!$G$8:$G$63,C144,'ریز گزارش ارزی'!$AO$8:$AO$63,D144,'ریز گزارش ارزی'!$AP$8:$AP$63,E144)</f>
        <v>0</v>
      </c>
      <c r="I144" s="146">
        <f>SUMIFS('ریز گزارش ارزی'!$AC$8:$AC$63,'ریز گزارش ارزی'!$AC$8:$AC$63,"&gt;0",'ریز گزارش ارزی'!$AG$8:$AG$63,"عودت قرض",'ریز گزارش ارزی'!$H$8:$H$63,F144,'ریز گزارش ارزی'!$F$8:$F$63,B144,'ریز گزارش ارزی'!$G$8:$G$63,C144,'ریز گزارش ارزی'!$AO$8:$AO$63,D144,'ریز گزارش ارزی'!$AP$8:$AP$63,E144)</f>
        <v>0</v>
      </c>
      <c r="J144" s="146">
        <f>SUMIFS('ریز گزارش ارزی'!$AD$8:$AD$63,'ریز گزارش ارزی'!$AD$8:$AD$63,"&gt;0",'ریز گزارش ارزی'!$AG$8:$AG$63,"عودت قرض",'ریز گزارش ارزی'!$H$8:$H$63,F144,'ریز گزارش ارزی'!$F$8:$F$63,B144,'ریز گزارش ارزی'!$G$8:$G$63,C144,'ریز گزارش ارزی'!$AO$8:$AO$63,D144,'ریز گزارش ارزی'!$AP$8:$AP$63,E144)</f>
        <v>0</v>
      </c>
      <c r="K144" s="63">
        <f t="shared" si="52"/>
        <v>0</v>
      </c>
      <c r="L144" s="63">
        <f t="shared" si="48"/>
        <v>0</v>
      </c>
      <c r="M144" s="64">
        <f t="shared" si="53"/>
        <v>0</v>
      </c>
      <c r="N144" s="65" t="str">
        <f t="shared" si="49"/>
        <v>بی‌حساب</v>
      </c>
    </row>
    <row r="145" spans="2:14" ht="17.25" customHeight="1">
      <c r="B145" s="145" t="s">
        <v>156</v>
      </c>
      <c r="C145" s="58" t="s">
        <v>6</v>
      </c>
      <c r="D145" s="144" t="s">
        <v>5</v>
      </c>
      <c r="E145" s="145" t="s">
        <v>148</v>
      </c>
      <c r="F145" s="145" t="s">
        <v>37</v>
      </c>
      <c r="G145" s="146">
        <f>SUMIFS('ریز گزارش ارزی'!$AC$8:$AC$63,'ریز گزارش ارزی'!$AC$8:$AC$63,"&gt;0",'ریز گزارش ارزی'!$AG$8:$AG$63,"قرض",'ریز گزارش ارزی'!$H$8:$H$63,F145,'ریز گزارش ارزی'!$F$8:$F$63,B145,'ریز گزارش ارزی'!$G$8:$G$63,C145,'ریز گزارش ارزی'!$AO$8:$AO$63,D145,'ریز گزارش ارزی'!$AP$8:$AP$63,E145)</f>
        <v>0</v>
      </c>
      <c r="H145" s="146">
        <f>SUMIFS('ریز گزارش ارزی'!$AD$8:$AD$63,'ریز گزارش ارزی'!$AD$8:$AD$63,"&gt;0",'ریز گزارش ارزی'!$AG$8:$AG$63,"قرض",'ریز گزارش ارزی'!$H$8:$H$63,F145,'ریز گزارش ارزی'!$F$8:$F$63,B145,'ریز گزارش ارزی'!$G$8:$G$63,C145,'ریز گزارش ارزی'!$AO$8:$AO$63,D145,'ریز گزارش ارزی'!$AP$8:$AP$63,E145)</f>
        <v>0</v>
      </c>
      <c r="I145" s="146">
        <f>SUMIFS('ریز گزارش ارزی'!$AC$8:$AC$63,'ریز گزارش ارزی'!$AC$8:$AC$63,"&gt;0",'ریز گزارش ارزی'!$AG$8:$AG$63,"عودت قرض",'ریز گزارش ارزی'!$H$8:$H$63,F145,'ریز گزارش ارزی'!$F$8:$F$63,B145,'ریز گزارش ارزی'!$G$8:$G$63,C145,'ریز گزارش ارزی'!$AO$8:$AO$63,D145,'ریز گزارش ارزی'!$AP$8:$AP$63,E145)</f>
        <v>0</v>
      </c>
      <c r="J145" s="146">
        <f>SUMIFS('ریز گزارش ارزی'!$AD$8:$AD$63,'ریز گزارش ارزی'!$AD$8:$AD$63,"&gt;0",'ریز گزارش ارزی'!$AG$8:$AG$63,"عودت قرض",'ریز گزارش ارزی'!$H$8:$H$63,F145,'ریز گزارش ارزی'!$F$8:$F$63,B145,'ریز گزارش ارزی'!$G$8:$G$63,C145,'ریز گزارش ارزی'!$AO$8:$AO$63,D145,'ریز گزارش ارزی'!$AP$8:$AP$63,E145)</f>
        <v>0</v>
      </c>
      <c r="K145" s="63">
        <f t="shared" si="52"/>
        <v>0</v>
      </c>
      <c r="L145" s="63">
        <f t="shared" si="48"/>
        <v>0</v>
      </c>
      <c r="M145" s="64">
        <f t="shared" si="53"/>
        <v>0</v>
      </c>
      <c r="N145" s="65" t="str">
        <f t="shared" si="49"/>
        <v>بی‌حساب</v>
      </c>
    </row>
    <row r="146" spans="2:14" ht="17.25" customHeight="1">
      <c r="B146" s="145" t="s">
        <v>156</v>
      </c>
      <c r="C146" s="57" t="s">
        <v>0</v>
      </c>
      <c r="D146" s="55" t="s">
        <v>6</v>
      </c>
      <c r="E146" s="56" t="s">
        <v>148</v>
      </c>
      <c r="F146" s="56" t="s">
        <v>37</v>
      </c>
      <c r="G146" s="62">
        <f>SUMIFS('ریز گزارش ارزی'!$AC$8:$AC$63,'ریز گزارش ارزی'!$AC$8:$AC$63,"&gt;0",'ریز گزارش ارزی'!$AG$8:$AG$63,"قرض",'ریز گزارش ارزی'!$H$8:$H$63,F146,'ریز گزارش ارزی'!$F$8:$F$63,B146,'ریز گزارش ارزی'!$G$8:$G$63,C146,'ریز گزارش ارزی'!$AO$8:$AO$63,D146,'ریز گزارش ارزی'!$AP$8:$AP$63,E146)</f>
        <v>0</v>
      </c>
      <c r="H146" s="62">
        <f>SUMIFS('ریز گزارش ارزی'!$AD$8:$AD$63,'ریز گزارش ارزی'!$AD$8:$AD$63,"&gt;0",'ریز گزارش ارزی'!$AG$8:$AG$63,"قرض",'ریز گزارش ارزی'!$H$8:$H$63,F146,'ریز گزارش ارزی'!$F$8:$F$63,B146,'ریز گزارش ارزی'!$G$8:$G$63,C146,'ریز گزارش ارزی'!$AO$8:$AO$63,D146,'ریز گزارش ارزی'!$AP$8:$AP$63,E146)</f>
        <v>0</v>
      </c>
      <c r="I146" s="62">
        <f>SUMIFS('ریز گزارش ارزی'!$AC$8:$AC$63,'ریز گزارش ارزی'!$AC$8:$AC$63,"&gt;0",'ریز گزارش ارزی'!$AG$8:$AG$63,"عودت قرض",'ریز گزارش ارزی'!$H$8:$H$63,F146,'ریز گزارش ارزی'!$F$8:$F$63,B146,'ریز گزارش ارزی'!$G$8:$G$63,C146,'ریز گزارش ارزی'!$AO$8:$AO$63,D146,'ریز گزارش ارزی'!$AP$8:$AP$63,E146)</f>
        <v>0</v>
      </c>
      <c r="J146" s="62">
        <f>SUMIFS('ریز گزارش ارزی'!$AD$8:$AD$63,'ریز گزارش ارزی'!$AD$8:$AD$63,"&gt;0",'ریز گزارش ارزی'!$AG$8:$AG$63,"عودت قرض",'ریز گزارش ارزی'!$H$8:$H$63,F146,'ریز گزارش ارزی'!$F$8:$F$63,B146,'ریز گزارش ارزی'!$G$8:$G$63,C146,'ریز گزارش ارزی'!$AO$8:$AO$63,D146,'ریز گزارش ارزی'!$AP$8:$AP$63,E146)</f>
        <v>0</v>
      </c>
      <c r="K146" s="63">
        <f t="shared" si="52"/>
        <v>0</v>
      </c>
      <c r="L146" s="63">
        <f t="shared" si="48"/>
        <v>0</v>
      </c>
      <c r="M146" s="64">
        <f t="shared" si="53"/>
        <v>0</v>
      </c>
      <c r="N146" s="65" t="str">
        <f t="shared" si="49"/>
        <v>بی‌حساب</v>
      </c>
    </row>
    <row r="147" spans="2:14" ht="17.25" customHeight="1">
      <c r="B147" s="145" t="s">
        <v>156</v>
      </c>
      <c r="C147" s="57" t="s">
        <v>0</v>
      </c>
      <c r="D147" s="55" t="s">
        <v>0</v>
      </c>
      <c r="E147" s="56" t="s">
        <v>148</v>
      </c>
      <c r="F147" s="56" t="s">
        <v>37</v>
      </c>
      <c r="G147" s="62">
        <f>SUMIFS('ریز گزارش ارزی'!$AC$8:$AC$63,'ریز گزارش ارزی'!$AC$8:$AC$63,"&gt;0",'ریز گزارش ارزی'!$AG$8:$AG$63,"قرض",'ریز گزارش ارزی'!$H$8:$H$63,F147,'ریز گزارش ارزی'!$F$8:$F$63,B147,'ریز گزارش ارزی'!$G$8:$G$63,C147,'ریز گزارش ارزی'!$AO$8:$AO$63,D147,'ریز گزارش ارزی'!$AP$8:$AP$63,E147)</f>
        <v>0</v>
      </c>
      <c r="H147" s="62">
        <f>SUMIFS('ریز گزارش ارزی'!$AD$8:$AD$63,'ریز گزارش ارزی'!$AD$8:$AD$63,"&gt;0",'ریز گزارش ارزی'!$AG$8:$AG$63,"قرض",'ریز گزارش ارزی'!$H$8:$H$63,F147,'ریز گزارش ارزی'!$F$8:$F$63,B147,'ریز گزارش ارزی'!$G$8:$G$63,C147,'ریز گزارش ارزی'!$AO$8:$AO$63,D147,'ریز گزارش ارزی'!$AP$8:$AP$63,E147)</f>
        <v>0</v>
      </c>
      <c r="I147" s="62">
        <f>SUMIFS('ریز گزارش ارزی'!$AC$8:$AC$63,'ریز گزارش ارزی'!$AC$8:$AC$63,"&gt;0",'ریز گزارش ارزی'!$AG$8:$AG$63,"عودت قرض",'ریز گزارش ارزی'!$H$8:$H$63,F147,'ریز گزارش ارزی'!$F$8:$F$63,B147,'ریز گزارش ارزی'!$G$8:$G$63,C147,'ریز گزارش ارزی'!$AO$8:$AO$63,D147,'ریز گزارش ارزی'!$AP$8:$AP$63,E147)</f>
        <v>0</v>
      </c>
      <c r="J147" s="62">
        <f>SUMIFS('ریز گزارش ارزی'!$AD$8:$AD$63,'ریز گزارش ارزی'!$AD$8:$AD$63,"&gt;0",'ریز گزارش ارزی'!$AG$8:$AG$63,"عودت قرض",'ریز گزارش ارزی'!$H$8:$H$63,F147,'ریز گزارش ارزی'!$F$8:$F$63,B147,'ریز گزارش ارزی'!$G$8:$G$63,C147,'ریز گزارش ارزی'!$AO$8:$AO$63,D147,'ریز گزارش ارزی'!$AP$8:$AP$63,E147)</f>
        <v>0</v>
      </c>
      <c r="K147" s="63">
        <f t="shared" si="52"/>
        <v>0</v>
      </c>
      <c r="L147" s="63">
        <f t="shared" si="48"/>
        <v>0</v>
      </c>
      <c r="M147" s="64">
        <f t="shared" si="53"/>
        <v>0</v>
      </c>
      <c r="N147" s="65" t="str">
        <f t="shared" si="49"/>
        <v>بی‌حساب</v>
      </c>
    </row>
    <row r="148" spans="2:14" ht="17.25" customHeight="1">
      <c r="B148" s="145" t="s">
        <v>156</v>
      </c>
      <c r="C148" s="57" t="s">
        <v>0</v>
      </c>
      <c r="D148" s="55" t="s">
        <v>1</v>
      </c>
      <c r="E148" s="56" t="s">
        <v>148</v>
      </c>
      <c r="F148" s="56" t="s">
        <v>37</v>
      </c>
      <c r="G148" s="62">
        <f>SUMIFS('ریز گزارش ارزی'!$AC$8:$AC$63,'ریز گزارش ارزی'!$AC$8:$AC$63,"&gt;0",'ریز گزارش ارزی'!$AG$8:$AG$63,"قرض",'ریز گزارش ارزی'!$H$8:$H$63,F148,'ریز گزارش ارزی'!$F$8:$F$63,B148,'ریز گزارش ارزی'!$G$8:$G$63,C148,'ریز گزارش ارزی'!$AO$8:$AO$63,D148,'ریز گزارش ارزی'!$AP$8:$AP$63,E148)</f>
        <v>0</v>
      </c>
      <c r="H148" s="62">
        <f>SUMIFS('ریز گزارش ارزی'!$AD$8:$AD$63,'ریز گزارش ارزی'!$AD$8:$AD$63,"&gt;0",'ریز گزارش ارزی'!$AG$8:$AG$63,"قرض",'ریز گزارش ارزی'!$H$8:$H$63,F148,'ریز گزارش ارزی'!$F$8:$F$63,B148,'ریز گزارش ارزی'!$G$8:$G$63,C148,'ریز گزارش ارزی'!$AO$8:$AO$63,D148,'ریز گزارش ارزی'!$AP$8:$AP$63,E148)</f>
        <v>0</v>
      </c>
      <c r="I148" s="62">
        <f>SUMIFS('ریز گزارش ارزی'!$AC$8:$AC$63,'ریز گزارش ارزی'!$AC$8:$AC$63,"&gt;0",'ریز گزارش ارزی'!$AG$8:$AG$63,"عودت قرض",'ریز گزارش ارزی'!$H$8:$H$63,F148,'ریز گزارش ارزی'!$F$8:$F$63,B148,'ریز گزارش ارزی'!$G$8:$G$63,C148,'ریز گزارش ارزی'!$AO$8:$AO$63,D148,'ریز گزارش ارزی'!$AP$8:$AP$63,E148)</f>
        <v>0</v>
      </c>
      <c r="J148" s="62">
        <f>SUMIFS('ریز گزارش ارزی'!$AD$8:$AD$63,'ریز گزارش ارزی'!$AD$8:$AD$63,"&gt;0",'ریز گزارش ارزی'!$AG$8:$AG$63,"عودت قرض",'ریز گزارش ارزی'!$H$8:$H$63,F148,'ریز گزارش ارزی'!$F$8:$F$63,B148,'ریز گزارش ارزی'!$G$8:$G$63,C148,'ریز گزارش ارزی'!$AO$8:$AO$63,D148,'ریز گزارش ارزی'!$AP$8:$AP$63,E148)</f>
        <v>0</v>
      </c>
      <c r="K148" s="63">
        <f t="shared" si="52"/>
        <v>0</v>
      </c>
      <c r="L148" s="63">
        <f t="shared" si="48"/>
        <v>0</v>
      </c>
      <c r="M148" s="64">
        <f t="shared" si="53"/>
        <v>0</v>
      </c>
      <c r="N148" s="65" t="str">
        <f t="shared" si="49"/>
        <v>بی‌حساب</v>
      </c>
    </row>
    <row r="149" spans="2:14" ht="17.25" customHeight="1">
      <c r="B149" s="145" t="s">
        <v>156</v>
      </c>
      <c r="C149" s="57" t="s">
        <v>0</v>
      </c>
      <c r="D149" s="55" t="s">
        <v>3</v>
      </c>
      <c r="E149" s="56" t="s">
        <v>148</v>
      </c>
      <c r="F149" s="56" t="s">
        <v>37</v>
      </c>
      <c r="G149" s="62">
        <f>SUMIFS('ریز گزارش ارزی'!$AC$8:$AC$63,'ریز گزارش ارزی'!$AC$8:$AC$63,"&gt;0",'ریز گزارش ارزی'!$AG$8:$AG$63,"قرض",'ریز گزارش ارزی'!$H$8:$H$63,F149,'ریز گزارش ارزی'!$F$8:$F$63,B149,'ریز گزارش ارزی'!$G$8:$G$63,C149,'ریز گزارش ارزی'!$AO$8:$AO$63,D149,'ریز گزارش ارزی'!$AP$8:$AP$63,E149)</f>
        <v>0</v>
      </c>
      <c r="H149" s="62">
        <f>SUMIFS('ریز گزارش ارزی'!$AD$8:$AD$63,'ریز گزارش ارزی'!$AD$8:$AD$63,"&gt;0",'ریز گزارش ارزی'!$AG$8:$AG$63,"قرض",'ریز گزارش ارزی'!$H$8:$H$63,F149,'ریز گزارش ارزی'!$F$8:$F$63,B149,'ریز گزارش ارزی'!$G$8:$G$63,C149,'ریز گزارش ارزی'!$AO$8:$AO$63,D149,'ریز گزارش ارزی'!$AP$8:$AP$63,E149)</f>
        <v>0</v>
      </c>
      <c r="I149" s="62">
        <f>SUMIFS('ریز گزارش ارزی'!$AC$8:$AC$63,'ریز گزارش ارزی'!$AC$8:$AC$63,"&gt;0",'ریز گزارش ارزی'!$AG$8:$AG$63,"عودت قرض",'ریز گزارش ارزی'!$H$8:$H$63,F149,'ریز گزارش ارزی'!$F$8:$F$63,B149,'ریز گزارش ارزی'!$G$8:$G$63,C149,'ریز گزارش ارزی'!$AO$8:$AO$63,D149,'ریز گزارش ارزی'!$AP$8:$AP$63,E149)</f>
        <v>0</v>
      </c>
      <c r="J149" s="62">
        <f>SUMIFS('ریز گزارش ارزی'!$AD$8:$AD$63,'ریز گزارش ارزی'!$AD$8:$AD$63,"&gt;0",'ریز گزارش ارزی'!$AG$8:$AG$63,"عودت قرض",'ریز گزارش ارزی'!$H$8:$H$63,F149,'ریز گزارش ارزی'!$F$8:$F$63,B149,'ریز گزارش ارزی'!$G$8:$G$63,C149,'ریز گزارش ارزی'!$AO$8:$AO$63,D149,'ریز گزارش ارزی'!$AP$8:$AP$63,E149)</f>
        <v>0</v>
      </c>
      <c r="K149" s="63">
        <f t="shared" si="52"/>
        <v>0</v>
      </c>
      <c r="L149" s="63">
        <f t="shared" si="48"/>
        <v>0</v>
      </c>
      <c r="M149" s="64">
        <f t="shared" si="53"/>
        <v>0</v>
      </c>
      <c r="N149" s="65" t="str">
        <f t="shared" si="49"/>
        <v>بی‌حساب</v>
      </c>
    </row>
    <row r="150" spans="2:14" ht="17.25" customHeight="1">
      <c r="B150" s="145" t="s">
        <v>156</v>
      </c>
      <c r="C150" s="57" t="s">
        <v>0</v>
      </c>
      <c r="D150" s="55" t="s">
        <v>9</v>
      </c>
      <c r="E150" s="56" t="s">
        <v>148</v>
      </c>
      <c r="F150" s="56" t="s">
        <v>37</v>
      </c>
      <c r="G150" s="62">
        <f>SUMIFS('ریز گزارش ارزی'!$AC$8:$AC$63,'ریز گزارش ارزی'!$AC$8:$AC$63,"&gt;0",'ریز گزارش ارزی'!$AG$8:$AG$63,"قرض",'ریز گزارش ارزی'!$H$8:$H$63,F150,'ریز گزارش ارزی'!$F$8:$F$63,B150,'ریز گزارش ارزی'!$G$8:$G$63,C150,'ریز گزارش ارزی'!$AO$8:$AO$63,D150,'ریز گزارش ارزی'!$AP$8:$AP$63,E150)</f>
        <v>0</v>
      </c>
      <c r="H150" s="62">
        <f>SUMIFS('ریز گزارش ارزی'!$AD$8:$AD$63,'ریز گزارش ارزی'!$AD$8:$AD$63,"&gt;0",'ریز گزارش ارزی'!$AG$8:$AG$63,"قرض",'ریز گزارش ارزی'!$H$8:$H$63,F150,'ریز گزارش ارزی'!$F$8:$F$63,B150,'ریز گزارش ارزی'!$G$8:$G$63,C150,'ریز گزارش ارزی'!$AO$8:$AO$63,D150,'ریز گزارش ارزی'!$AP$8:$AP$63,E150)</f>
        <v>0</v>
      </c>
      <c r="I150" s="62">
        <f>SUMIFS('ریز گزارش ارزی'!$AC$8:$AC$63,'ریز گزارش ارزی'!$AC$8:$AC$63,"&gt;0",'ریز گزارش ارزی'!$AG$8:$AG$63,"عودت قرض",'ریز گزارش ارزی'!$H$8:$H$63,F150,'ریز گزارش ارزی'!$F$8:$F$63,B150,'ریز گزارش ارزی'!$G$8:$G$63,C150,'ریز گزارش ارزی'!$AO$8:$AO$63,D150,'ریز گزارش ارزی'!$AP$8:$AP$63,E150)</f>
        <v>0</v>
      </c>
      <c r="J150" s="62">
        <f>SUMIFS('ریز گزارش ارزی'!$AD$8:$AD$63,'ریز گزارش ارزی'!$AD$8:$AD$63,"&gt;0",'ریز گزارش ارزی'!$AG$8:$AG$63,"عودت قرض",'ریز گزارش ارزی'!$H$8:$H$63,F150,'ریز گزارش ارزی'!$F$8:$F$63,B150,'ریز گزارش ارزی'!$G$8:$G$63,C150,'ریز گزارش ارزی'!$AO$8:$AO$63,D150,'ریز گزارش ارزی'!$AP$8:$AP$63,E150)</f>
        <v>0</v>
      </c>
      <c r="K150" s="63">
        <f t="shared" si="52"/>
        <v>0</v>
      </c>
      <c r="L150" s="63">
        <f t="shared" si="48"/>
        <v>0</v>
      </c>
      <c r="M150" s="64">
        <f t="shared" si="53"/>
        <v>0</v>
      </c>
      <c r="N150" s="65" t="str">
        <f t="shared" si="49"/>
        <v>بی‌حساب</v>
      </c>
    </row>
    <row r="151" spans="2:14" ht="17.25" customHeight="1">
      <c r="B151" s="145" t="s">
        <v>156</v>
      </c>
      <c r="C151" s="57" t="s">
        <v>0</v>
      </c>
      <c r="D151" s="55" t="s">
        <v>14</v>
      </c>
      <c r="E151" s="56" t="s">
        <v>148</v>
      </c>
      <c r="F151" s="56" t="s">
        <v>37</v>
      </c>
      <c r="G151" s="62">
        <f>SUMIFS('ریز گزارش ارزی'!$AC$8:$AC$63,'ریز گزارش ارزی'!$AC$8:$AC$63,"&gt;0",'ریز گزارش ارزی'!$AG$8:$AG$63,"قرض",'ریز گزارش ارزی'!$H$8:$H$63,F151,'ریز گزارش ارزی'!$F$8:$F$63,B151,'ریز گزارش ارزی'!$G$8:$G$63,C151,'ریز گزارش ارزی'!$AO$8:$AO$63,D151,'ریز گزارش ارزی'!$AP$8:$AP$63,E151)</f>
        <v>0</v>
      </c>
      <c r="H151" s="62">
        <f>SUMIFS('ریز گزارش ارزی'!$AD$8:$AD$63,'ریز گزارش ارزی'!$AD$8:$AD$63,"&gt;0",'ریز گزارش ارزی'!$AG$8:$AG$63,"قرض",'ریز گزارش ارزی'!$H$8:$H$63,F151,'ریز گزارش ارزی'!$F$8:$F$63,B151,'ریز گزارش ارزی'!$G$8:$G$63,C151,'ریز گزارش ارزی'!$AO$8:$AO$63,D151,'ریز گزارش ارزی'!$AP$8:$AP$63,E151)</f>
        <v>0</v>
      </c>
      <c r="I151" s="62">
        <f>SUMIFS('ریز گزارش ارزی'!$AC$8:$AC$63,'ریز گزارش ارزی'!$AC$8:$AC$63,"&gt;0",'ریز گزارش ارزی'!$AG$8:$AG$63,"عودت قرض",'ریز گزارش ارزی'!$H$8:$H$63,F151,'ریز گزارش ارزی'!$F$8:$F$63,B151,'ریز گزارش ارزی'!$G$8:$G$63,C151,'ریز گزارش ارزی'!$AO$8:$AO$63,D151,'ریز گزارش ارزی'!$AP$8:$AP$63,E151)</f>
        <v>0</v>
      </c>
      <c r="J151" s="62">
        <f>SUMIFS('ریز گزارش ارزی'!$AD$8:$AD$63,'ریز گزارش ارزی'!$AD$8:$AD$63,"&gt;0",'ریز گزارش ارزی'!$AG$8:$AG$63,"عودت قرض",'ریز گزارش ارزی'!$H$8:$H$63,F151,'ریز گزارش ارزی'!$F$8:$F$63,B151,'ریز گزارش ارزی'!$G$8:$G$63,C151,'ریز گزارش ارزی'!$AO$8:$AO$63,D151,'ریز گزارش ارزی'!$AP$8:$AP$63,E151)</f>
        <v>0</v>
      </c>
      <c r="K151" s="63">
        <f t="shared" si="52"/>
        <v>0</v>
      </c>
      <c r="L151" s="63">
        <f t="shared" si="48"/>
        <v>0</v>
      </c>
      <c r="M151" s="64">
        <f t="shared" si="53"/>
        <v>0</v>
      </c>
      <c r="N151" s="65" t="str">
        <f t="shared" si="49"/>
        <v>بی‌حساب</v>
      </c>
    </row>
    <row r="152" spans="2:14" ht="17.25" customHeight="1">
      <c r="B152" s="145" t="s">
        <v>156</v>
      </c>
      <c r="C152" s="57" t="s">
        <v>0</v>
      </c>
      <c r="D152" s="55" t="s">
        <v>5</v>
      </c>
      <c r="E152" s="56" t="s">
        <v>148</v>
      </c>
      <c r="F152" s="56" t="s">
        <v>37</v>
      </c>
      <c r="G152" s="62">
        <f>SUMIFS('ریز گزارش ارزی'!$AC$8:$AC$63,'ریز گزارش ارزی'!$AC$8:$AC$63,"&gt;0",'ریز گزارش ارزی'!$AG$8:$AG$63,"قرض",'ریز گزارش ارزی'!$H$8:$H$63,F152,'ریز گزارش ارزی'!$F$8:$F$63,B152,'ریز گزارش ارزی'!$G$8:$G$63,C152,'ریز گزارش ارزی'!$AO$8:$AO$63,D152,'ریز گزارش ارزی'!$AP$8:$AP$63,E152)</f>
        <v>0</v>
      </c>
      <c r="H152" s="62">
        <f>SUMIFS('ریز گزارش ارزی'!$AD$8:$AD$63,'ریز گزارش ارزی'!$AD$8:$AD$63,"&gt;0",'ریز گزارش ارزی'!$AG$8:$AG$63,"قرض",'ریز گزارش ارزی'!$H$8:$H$63,F152,'ریز گزارش ارزی'!$F$8:$F$63,B152,'ریز گزارش ارزی'!$G$8:$G$63,C152,'ریز گزارش ارزی'!$AO$8:$AO$63,D152,'ریز گزارش ارزی'!$AP$8:$AP$63,E152)</f>
        <v>0</v>
      </c>
      <c r="I152" s="62">
        <f>SUMIFS('ریز گزارش ارزی'!$AC$8:$AC$63,'ریز گزارش ارزی'!$AC$8:$AC$63,"&gt;0",'ریز گزارش ارزی'!$AG$8:$AG$63,"عودت قرض",'ریز گزارش ارزی'!$H$8:$H$63,F152,'ریز گزارش ارزی'!$F$8:$F$63,B152,'ریز گزارش ارزی'!$G$8:$G$63,C152,'ریز گزارش ارزی'!$AO$8:$AO$63,D152,'ریز گزارش ارزی'!$AP$8:$AP$63,E152)</f>
        <v>0</v>
      </c>
      <c r="J152" s="62">
        <f>SUMIFS('ریز گزارش ارزی'!$AD$8:$AD$63,'ریز گزارش ارزی'!$AD$8:$AD$63,"&gt;0",'ریز گزارش ارزی'!$AG$8:$AG$63,"عودت قرض",'ریز گزارش ارزی'!$H$8:$H$63,F152,'ریز گزارش ارزی'!$F$8:$F$63,B152,'ریز گزارش ارزی'!$G$8:$G$63,C152,'ریز گزارش ارزی'!$AO$8:$AO$63,D152,'ریز گزارش ارزی'!$AP$8:$AP$63,E152)</f>
        <v>0</v>
      </c>
      <c r="K152" s="63">
        <f t="shared" si="52"/>
        <v>0</v>
      </c>
      <c r="L152" s="63">
        <f t="shared" si="48"/>
        <v>0</v>
      </c>
      <c r="M152" s="64">
        <f t="shared" si="53"/>
        <v>0</v>
      </c>
      <c r="N152" s="65" t="str">
        <f t="shared" si="49"/>
        <v>بی‌حساب</v>
      </c>
    </row>
    <row r="153" spans="2:14" ht="17.25" customHeight="1">
      <c r="B153" s="145" t="s">
        <v>156</v>
      </c>
      <c r="C153" s="54" t="s">
        <v>1</v>
      </c>
      <c r="D153" s="144" t="s">
        <v>6</v>
      </c>
      <c r="E153" s="145" t="s">
        <v>148</v>
      </c>
      <c r="F153" s="145" t="s">
        <v>37</v>
      </c>
      <c r="G153" s="146">
        <f>SUMIFS('ریز گزارش ارزی'!$AC$8:$AC$63,'ریز گزارش ارزی'!$AC$8:$AC$63,"&gt;0",'ریز گزارش ارزی'!$AG$8:$AG$63,"قرض",'ریز گزارش ارزی'!$H$8:$H$63,F153,'ریز گزارش ارزی'!$F$8:$F$63,B153,'ریز گزارش ارزی'!$G$8:$G$63,C153,'ریز گزارش ارزی'!$AO$8:$AO$63,D153,'ریز گزارش ارزی'!$AP$8:$AP$63,E153)</f>
        <v>0</v>
      </c>
      <c r="H153" s="146">
        <f>SUMIFS('ریز گزارش ارزی'!$AD$8:$AD$63,'ریز گزارش ارزی'!$AD$8:$AD$63,"&gt;0",'ریز گزارش ارزی'!$AG$8:$AG$63,"قرض",'ریز گزارش ارزی'!$H$8:$H$63,F153,'ریز گزارش ارزی'!$F$8:$F$63,B153,'ریز گزارش ارزی'!$G$8:$G$63,C153,'ریز گزارش ارزی'!$AO$8:$AO$63,D153,'ریز گزارش ارزی'!$AP$8:$AP$63,E153)</f>
        <v>0</v>
      </c>
      <c r="I153" s="146">
        <f>SUMIFS('ریز گزارش ارزی'!$AC$8:$AC$63,'ریز گزارش ارزی'!$AC$8:$AC$63,"&gt;0",'ریز گزارش ارزی'!$AG$8:$AG$63,"عودت قرض",'ریز گزارش ارزی'!$H$8:$H$63,F153,'ریز گزارش ارزی'!$F$8:$F$63,B153,'ریز گزارش ارزی'!$G$8:$G$63,C153,'ریز گزارش ارزی'!$AO$8:$AO$63,D153,'ریز گزارش ارزی'!$AP$8:$AP$63,E153)</f>
        <v>0</v>
      </c>
      <c r="J153" s="146">
        <f>SUMIFS('ریز گزارش ارزی'!$AD$8:$AD$63,'ریز گزارش ارزی'!$AD$8:$AD$63,"&gt;0",'ریز گزارش ارزی'!$AG$8:$AG$63,"عودت قرض",'ریز گزارش ارزی'!$H$8:$H$63,F153,'ریز گزارش ارزی'!$F$8:$F$63,B153,'ریز گزارش ارزی'!$G$8:$G$63,C153,'ریز گزارش ارزی'!$AO$8:$AO$63,D153,'ریز گزارش ارزی'!$AP$8:$AP$63,E153)</f>
        <v>0</v>
      </c>
      <c r="K153" s="63">
        <f t="shared" si="52"/>
        <v>0</v>
      </c>
      <c r="L153" s="63">
        <f t="shared" si="48"/>
        <v>0</v>
      </c>
      <c r="M153" s="64">
        <f t="shared" si="53"/>
        <v>0</v>
      </c>
      <c r="N153" s="65" t="str">
        <f t="shared" si="49"/>
        <v>بی‌حساب</v>
      </c>
    </row>
    <row r="154" spans="2:14" ht="17.25" customHeight="1">
      <c r="B154" s="145" t="s">
        <v>156</v>
      </c>
      <c r="C154" s="54" t="s">
        <v>1</v>
      </c>
      <c r="D154" s="144" t="s">
        <v>0</v>
      </c>
      <c r="E154" s="145" t="s">
        <v>148</v>
      </c>
      <c r="F154" s="145" t="s">
        <v>37</v>
      </c>
      <c r="G154" s="146">
        <f>SUMIFS('ریز گزارش ارزی'!$AC$8:$AC$63,'ریز گزارش ارزی'!$AC$8:$AC$63,"&gt;0",'ریز گزارش ارزی'!$AG$8:$AG$63,"قرض",'ریز گزارش ارزی'!$H$8:$H$63,F154,'ریز گزارش ارزی'!$F$8:$F$63,B154,'ریز گزارش ارزی'!$G$8:$G$63,C154,'ریز گزارش ارزی'!$AO$8:$AO$63,D154,'ریز گزارش ارزی'!$AP$8:$AP$63,E154)</f>
        <v>0</v>
      </c>
      <c r="H154" s="146">
        <f>SUMIFS('ریز گزارش ارزی'!$AD$8:$AD$63,'ریز گزارش ارزی'!$AD$8:$AD$63,"&gt;0",'ریز گزارش ارزی'!$AG$8:$AG$63,"قرض",'ریز گزارش ارزی'!$H$8:$H$63,F154,'ریز گزارش ارزی'!$F$8:$F$63,B154,'ریز گزارش ارزی'!$G$8:$G$63,C154,'ریز گزارش ارزی'!$AO$8:$AO$63,D154,'ریز گزارش ارزی'!$AP$8:$AP$63,E154)</f>
        <v>0</v>
      </c>
      <c r="I154" s="146">
        <f>SUMIFS('ریز گزارش ارزی'!$AC$8:$AC$63,'ریز گزارش ارزی'!$AC$8:$AC$63,"&gt;0",'ریز گزارش ارزی'!$AG$8:$AG$63,"عودت قرض",'ریز گزارش ارزی'!$H$8:$H$63,F154,'ریز گزارش ارزی'!$F$8:$F$63,B154,'ریز گزارش ارزی'!$G$8:$G$63,C154,'ریز گزارش ارزی'!$AO$8:$AO$63,D154,'ریز گزارش ارزی'!$AP$8:$AP$63,E154)</f>
        <v>0</v>
      </c>
      <c r="J154" s="146">
        <f>SUMIFS('ریز گزارش ارزی'!$AD$8:$AD$63,'ریز گزارش ارزی'!$AD$8:$AD$63,"&gt;0",'ریز گزارش ارزی'!$AG$8:$AG$63,"عودت قرض",'ریز گزارش ارزی'!$H$8:$H$63,F154,'ریز گزارش ارزی'!$F$8:$F$63,B154,'ریز گزارش ارزی'!$G$8:$G$63,C154,'ریز گزارش ارزی'!$AO$8:$AO$63,D154,'ریز گزارش ارزی'!$AP$8:$AP$63,E154)</f>
        <v>0</v>
      </c>
      <c r="K154" s="63">
        <f t="shared" si="52"/>
        <v>0</v>
      </c>
      <c r="L154" s="63">
        <f t="shared" si="48"/>
        <v>0</v>
      </c>
      <c r="M154" s="64">
        <f t="shared" si="53"/>
        <v>0</v>
      </c>
      <c r="N154" s="65" t="str">
        <f t="shared" si="49"/>
        <v>بی‌حساب</v>
      </c>
    </row>
    <row r="155" spans="2:14" ht="17.25" customHeight="1">
      <c r="B155" s="145" t="s">
        <v>156</v>
      </c>
      <c r="C155" s="54" t="s">
        <v>1</v>
      </c>
      <c r="D155" s="144" t="s">
        <v>1</v>
      </c>
      <c r="E155" s="145" t="s">
        <v>148</v>
      </c>
      <c r="F155" s="145" t="s">
        <v>37</v>
      </c>
      <c r="G155" s="146">
        <f>SUMIFS('ریز گزارش ارزی'!$AC$8:$AC$63,'ریز گزارش ارزی'!$AC$8:$AC$63,"&gt;0",'ریز گزارش ارزی'!$AG$8:$AG$63,"قرض",'ریز گزارش ارزی'!$H$8:$H$63,F155,'ریز گزارش ارزی'!$F$8:$F$63,B155,'ریز گزارش ارزی'!$G$8:$G$63,C155,'ریز گزارش ارزی'!$AO$8:$AO$63,D155,'ریز گزارش ارزی'!$AP$8:$AP$63,E155)</f>
        <v>0</v>
      </c>
      <c r="H155" s="146">
        <f>SUMIFS('ریز گزارش ارزی'!$AD$8:$AD$63,'ریز گزارش ارزی'!$AD$8:$AD$63,"&gt;0",'ریز گزارش ارزی'!$AG$8:$AG$63,"قرض",'ریز گزارش ارزی'!$H$8:$H$63,F155,'ریز گزارش ارزی'!$F$8:$F$63,B155,'ریز گزارش ارزی'!$G$8:$G$63,C155,'ریز گزارش ارزی'!$AO$8:$AO$63,D155,'ریز گزارش ارزی'!$AP$8:$AP$63,E155)</f>
        <v>0</v>
      </c>
      <c r="I155" s="146">
        <f>SUMIFS('ریز گزارش ارزی'!$AC$8:$AC$63,'ریز گزارش ارزی'!$AC$8:$AC$63,"&gt;0",'ریز گزارش ارزی'!$AG$8:$AG$63,"عودت قرض",'ریز گزارش ارزی'!$H$8:$H$63,F155,'ریز گزارش ارزی'!$F$8:$F$63,B155,'ریز گزارش ارزی'!$G$8:$G$63,C155,'ریز گزارش ارزی'!$AO$8:$AO$63,D155,'ریز گزارش ارزی'!$AP$8:$AP$63,E155)</f>
        <v>0</v>
      </c>
      <c r="J155" s="146">
        <f>SUMIFS('ریز گزارش ارزی'!$AD$8:$AD$63,'ریز گزارش ارزی'!$AD$8:$AD$63,"&gt;0",'ریز گزارش ارزی'!$AG$8:$AG$63,"عودت قرض",'ریز گزارش ارزی'!$H$8:$H$63,F155,'ریز گزارش ارزی'!$F$8:$F$63,B155,'ریز گزارش ارزی'!$G$8:$G$63,C155,'ریز گزارش ارزی'!$AO$8:$AO$63,D155,'ریز گزارش ارزی'!$AP$8:$AP$63,E155)</f>
        <v>0</v>
      </c>
      <c r="K155" s="63">
        <f t="shared" si="52"/>
        <v>0</v>
      </c>
      <c r="L155" s="63">
        <f t="shared" si="48"/>
        <v>0</v>
      </c>
      <c r="M155" s="64">
        <f t="shared" si="53"/>
        <v>0</v>
      </c>
      <c r="N155" s="65" t="str">
        <f t="shared" si="49"/>
        <v>بی‌حساب</v>
      </c>
    </row>
    <row r="156" spans="2:14" ht="17.25" customHeight="1">
      <c r="B156" s="145" t="s">
        <v>156</v>
      </c>
      <c r="C156" s="54" t="s">
        <v>1</v>
      </c>
      <c r="D156" s="144" t="s">
        <v>3</v>
      </c>
      <c r="E156" s="145" t="s">
        <v>148</v>
      </c>
      <c r="F156" s="145" t="s">
        <v>37</v>
      </c>
      <c r="G156" s="146">
        <f>SUMIFS('ریز گزارش ارزی'!$AC$8:$AC$63,'ریز گزارش ارزی'!$AC$8:$AC$63,"&gt;0",'ریز گزارش ارزی'!$AG$8:$AG$63,"قرض",'ریز گزارش ارزی'!$H$8:$H$63,F156,'ریز گزارش ارزی'!$F$8:$F$63,B156,'ریز گزارش ارزی'!$G$8:$G$63,C156,'ریز گزارش ارزی'!$AO$8:$AO$63,D156,'ریز گزارش ارزی'!$AP$8:$AP$63,E156)</f>
        <v>0</v>
      </c>
      <c r="H156" s="146">
        <f>SUMIFS('ریز گزارش ارزی'!$AD$8:$AD$63,'ریز گزارش ارزی'!$AD$8:$AD$63,"&gt;0",'ریز گزارش ارزی'!$AG$8:$AG$63,"قرض",'ریز گزارش ارزی'!$H$8:$H$63,F156,'ریز گزارش ارزی'!$F$8:$F$63,B156,'ریز گزارش ارزی'!$G$8:$G$63,C156,'ریز گزارش ارزی'!$AO$8:$AO$63,D156,'ریز گزارش ارزی'!$AP$8:$AP$63,E156)</f>
        <v>0</v>
      </c>
      <c r="I156" s="146">
        <f>SUMIFS('ریز گزارش ارزی'!$AC$8:$AC$63,'ریز گزارش ارزی'!$AC$8:$AC$63,"&gt;0",'ریز گزارش ارزی'!$AG$8:$AG$63,"عودت قرض",'ریز گزارش ارزی'!$H$8:$H$63,F156,'ریز گزارش ارزی'!$F$8:$F$63,B156,'ریز گزارش ارزی'!$G$8:$G$63,C156,'ریز گزارش ارزی'!$AO$8:$AO$63,D156,'ریز گزارش ارزی'!$AP$8:$AP$63,E156)</f>
        <v>0</v>
      </c>
      <c r="J156" s="146">
        <f>SUMIFS('ریز گزارش ارزی'!$AD$8:$AD$63,'ریز گزارش ارزی'!$AD$8:$AD$63,"&gt;0",'ریز گزارش ارزی'!$AG$8:$AG$63,"عودت قرض",'ریز گزارش ارزی'!$H$8:$H$63,F156,'ریز گزارش ارزی'!$F$8:$F$63,B156,'ریز گزارش ارزی'!$G$8:$G$63,C156,'ریز گزارش ارزی'!$AO$8:$AO$63,D156,'ریز گزارش ارزی'!$AP$8:$AP$63,E156)</f>
        <v>0</v>
      </c>
      <c r="K156" s="63">
        <f t="shared" si="52"/>
        <v>0</v>
      </c>
      <c r="L156" s="63">
        <f t="shared" si="48"/>
        <v>0</v>
      </c>
      <c r="M156" s="64">
        <f t="shared" si="53"/>
        <v>0</v>
      </c>
      <c r="N156" s="65" t="str">
        <f t="shared" si="49"/>
        <v>بی‌حساب</v>
      </c>
    </row>
    <row r="157" spans="2:14" ht="17.25" customHeight="1">
      <c r="B157" s="145" t="s">
        <v>156</v>
      </c>
      <c r="C157" s="54" t="s">
        <v>1</v>
      </c>
      <c r="D157" s="144" t="s">
        <v>9</v>
      </c>
      <c r="E157" s="145" t="s">
        <v>148</v>
      </c>
      <c r="F157" s="145" t="s">
        <v>37</v>
      </c>
      <c r="G157" s="146">
        <f>SUMIFS('ریز گزارش ارزی'!$AC$8:$AC$63,'ریز گزارش ارزی'!$AC$8:$AC$63,"&gt;0",'ریز گزارش ارزی'!$AG$8:$AG$63,"قرض",'ریز گزارش ارزی'!$H$8:$H$63,F157,'ریز گزارش ارزی'!$F$8:$F$63,B157,'ریز گزارش ارزی'!$G$8:$G$63,C157,'ریز گزارش ارزی'!$AO$8:$AO$63,D157,'ریز گزارش ارزی'!$AP$8:$AP$63,E157)</f>
        <v>0</v>
      </c>
      <c r="H157" s="146">
        <f>SUMIFS('ریز گزارش ارزی'!$AD$8:$AD$63,'ریز گزارش ارزی'!$AD$8:$AD$63,"&gt;0",'ریز گزارش ارزی'!$AG$8:$AG$63,"قرض",'ریز گزارش ارزی'!$H$8:$H$63,F157,'ریز گزارش ارزی'!$F$8:$F$63,B157,'ریز گزارش ارزی'!$G$8:$G$63,C157,'ریز گزارش ارزی'!$AO$8:$AO$63,D157,'ریز گزارش ارزی'!$AP$8:$AP$63,E157)</f>
        <v>0</v>
      </c>
      <c r="I157" s="146">
        <f>SUMIFS('ریز گزارش ارزی'!$AC$8:$AC$63,'ریز گزارش ارزی'!$AC$8:$AC$63,"&gt;0",'ریز گزارش ارزی'!$AG$8:$AG$63,"عودت قرض",'ریز گزارش ارزی'!$H$8:$H$63,F157,'ریز گزارش ارزی'!$F$8:$F$63,B157,'ریز گزارش ارزی'!$G$8:$G$63,C157,'ریز گزارش ارزی'!$AO$8:$AO$63,D157,'ریز گزارش ارزی'!$AP$8:$AP$63,E157)</f>
        <v>0</v>
      </c>
      <c r="J157" s="146">
        <f>SUMIFS('ریز گزارش ارزی'!$AD$8:$AD$63,'ریز گزارش ارزی'!$AD$8:$AD$63,"&gt;0",'ریز گزارش ارزی'!$AG$8:$AG$63,"عودت قرض",'ریز گزارش ارزی'!$H$8:$H$63,F157,'ریز گزارش ارزی'!$F$8:$F$63,B157,'ریز گزارش ارزی'!$G$8:$G$63,C157,'ریز گزارش ارزی'!$AO$8:$AO$63,D157,'ریز گزارش ارزی'!$AP$8:$AP$63,E157)</f>
        <v>0</v>
      </c>
      <c r="K157" s="63">
        <f t="shared" si="52"/>
        <v>0</v>
      </c>
      <c r="L157" s="63">
        <f t="shared" si="48"/>
        <v>0</v>
      </c>
      <c r="M157" s="64">
        <f t="shared" si="53"/>
        <v>0</v>
      </c>
      <c r="N157" s="65" t="str">
        <f t="shared" si="49"/>
        <v>بی‌حساب</v>
      </c>
    </row>
    <row r="158" spans="2:14" ht="17.25" customHeight="1">
      <c r="B158" s="145" t="s">
        <v>156</v>
      </c>
      <c r="C158" s="54" t="s">
        <v>1</v>
      </c>
      <c r="D158" s="144" t="s">
        <v>14</v>
      </c>
      <c r="E158" s="145" t="s">
        <v>148</v>
      </c>
      <c r="F158" s="145" t="s">
        <v>37</v>
      </c>
      <c r="G158" s="146">
        <f>SUMIFS('ریز گزارش ارزی'!$AC$8:$AC$63,'ریز گزارش ارزی'!$AC$8:$AC$63,"&gt;0",'ریز گزارش ارزی'!$AG$8:$AG$63,"قرض",'ریز گزارش ارزی'!$H$8:$H$63,F158,'ریز گزارش ارزی'!$F$8:$F$63,B158,'ریز گزارش ارزی'!$G$8:$G$63,C158,'ریز گزارش ارزی'!$AO$8:$AO$63,D158,'ریز گزارش ارزی'!$AP$8:$AP$63,E158)</f>
        <v>0</v>
      </c>
      <c r="H158" s="146">
        <f>SUMIFS('ریز گزارش ارزی'!$AD$8:$AD$63,'ریز گزارش ارزی'!$AD$8:$AD$63,"&gt;0",'ریز گزارش ارزی'!$AG$8:$AG$63,"قرض",'ریز گزارش ارزی'!$H$8:$H$63,F158,'ریز گزارش ارزی'!$F$8:$F$63,B158,'ریز گزارش ارزی'!$G$8:$G$63,C158,'ریز گزارش ارزی'!$AO$8:$AO$63,D158,'ریز گزارش ارزی'!$AP$8:$AP$63,E158)</f>
        <v>0</v>
      </c>
      <c r="I158" s="146">
        <f>SUMIFS('ریز گزارش ارزی'!$AC$8:$AC$63,'ریز گزارش ارزی'!$AC$8:$AC$63,"&gt;0",'ریز گزارش ارزی'!$AG$8:$AG$63,"عودت قرض",'ریز گزارش ارزی'!$H$8:$H$63,F158,'ریز گزارش ارزی'!$F$8:$F$63,B158,'ریز گزارش ارزی'!$G$8:$G$63,C158,'ریز گزارش ارزی'!$AO$8:$AO$63,D158,'ریز گزارش ارزی'!$AP$8:$AP$63,E158)</f>
        <v>0</v>
      </c>
      <c r="J158" s="146">
        <f>SUMIFS('ریز گزارش ارزی'!$AD$8:$AD$63,'ریز گزارش ارزی'!$AD$8:$AD$63,"&gt;0",'ریز گزارش ارزی'!$AG$8:$AG$63,"عودت قرض",'ریز گزارش ارزی'!$H$8:$H$63,F158,'ریز گزارش ارزی'!$F$8:$F$63,B158,'ریز گزارش ارزی'!$G$8:$G$63,C158,'ریز گزارش ارزی'!$AO$8:$AO$63,D158,'ریز گزارش ارزی'!$AP$8:$AP$63,E158)</f>
        <v>0</v>
      </c>
      <c r="K158" s="63">
        <f t="shared" si="52"/>
        <v>0</v>
      </c>
      <c r="L158" s="63">
        <f t="shared" si="48"/>
        <v>0</v>
      </c>
      <c r="M158" s="64">
        <f t="shared" si="53"/>
        <v>0</v>
      </c>
      <c r="N158" s="65" t="str">
        <f t="shared" si="49"/>
        <v>بی‌حساب</v>
      </c>
    </row>
    <row r="159" spans="2:14" ht="17.25" customHeight="1">
      <c r="B159" s="145" t="s">
        <v>156</v>
      </c>
      <c r="C159" s="54" t="s">
        <v>1</v>
      </c>
      <c r="D159" s="144" t="s">
        <v>5</v>
      </c>
      <c r="E159" s="145" t="s">
        <v>148</v>
      </c>
      <c r="F159" s="145" t="s">
        <v>37</v>
      </c>
      <c r="G159" s="146">
        <f>SUMIFS('ریز گزارش ارزی'!$AC$8:$AC$63,'ریز گزارش ارزی'!$AC$8:$AC$63,"&gt;0",'ریز گزارش ارزی'!$AG$8:$AG$63,"قرض",'ریز گزارش ارزی'!$H$8:$H$63,F159,'ریز گزارش ارزی'!$F$8:$F$63,B159,'ریز گزارش ارزی'!$G$8:$G$63,C159,'ریز گزارش ارزی'!$AO$8:$AO$63,D159,'ریز گزارش ارزی'!$AP$8:$AP$63,E159)</f>
        <v>0</v>
      </c>
      <c r="H159" s="146">
        <f>SUMIFS('ریز گزارش ارزی'!$AD$8:$AD$63,'ریز گزارش ارزی'!$AD$8:$AD$63,"&gt;0",'ریز گزارش ارزی'!$AG$8:$AG$63,"قرض",'ریز گزارش ارزی'!$H$8:$H$63,F159,'ریز گزارش ارزی'!$F$8:$F$63,B159,'ریز گزارش ارزی'!$G$8:$G$63,C159,'ریز گزارش ارزی'!$AO$8:$AO$63,D159,'ریز گزارش ارزی'!$AP$8:$AP$63,E159)</f>
        <v>0</v>
      </c>
      <c r="I159" s="146">
        <f>SUMIFS('ریز گزارش ارزی'!$AC$8:$AC$63,'ریز گزارش ارزی'!$AC$8:$AC$63,"&gt;0",'ریز گزارش ارزی'!$AG$8:$AG$63,"عودت قرض",'ریز گزارش ارزی'!$H$8:$H$63,F159,'ریز گزارش ارزی'!$F$8:$F$63,B159,'ریز گزارش ارزی'!$G$8:$G$63,C159,'ریز گزارش ارزی'!$AO$8:$AO$63,D159,'ریز گزارش ارزی'!$AP$8:$AP$63,E159)</f>
        <v>0</v>
      </c>
      <c r="J159" s="146">
        <f>SUMIFS('ریز گزارش ارزی'!$AD$8:$AD$63,'ریز گزارش ارزی'!$AD$8:$AD$63,"&gt;0",'ریز گزارش ارزی'!$AG$8:$AG$63,"عودت قرض",'ریز گزارش ارزی'!$H$8:$H$63,F159,'ریز گزارش ارزی'!$F$8:$F$63,B159,'ریز گزارش ارزی'!$G$8:$G$63,C159,'ریز گزارش ارزی'!$AO$8:$AO$63,D159,'ریز گزارش ارزی'!$AP$8:$AP$63,E159)</f>
        <v>0</v>
      </c>
      <c r="K159" s="63">
        <f t="shared" si="52"/>
        <v>0</v>
      </c>
      <c r="L159" s="63">
        <f t="shared" si="48"/>
        <v>0</v>
      </c>
      <c r="M159" s="64">
        <f t="shared" si="53"/>
        <v>0</v>
      </c>
      <c r="N159" s="65" t="str">
        <f t="shared" si="49"/>
        <v>بی‌حساب</v>
      </c>
    </row>
    <row r="160" spans="2:14" ht="17.25" customHeight="1">
      <c r="B160" s="145" t="s">
        <v>156</v>
      </c>
      <c r="C160" s="142" t="s">
        <v>3</v>
      </c>
      <c r="D160" s="55" t="s">
        <v>6</v>
      </c>
      <c r="E160" s="56" t="s">
        <v>148</v>
      </c>
      <c r="F160" s="56" t="s">
        <v>37</v>
      </c>
      <c r="G160" s="62">
        <f>SUMIFS('ریز گزارش ارزی'!$AC$8:$AC$63,'ریز گزارش ارزی'!$AC$8:$AC$63,"&gt;0",'ریز گزارش ارزی'!$AG$8:$AG$63,"قرض",'ریز گزارش ارزی'!$H$8:$H$63,F160,'ریز گزارش ارزی'!$F$8:$F$63,B160,'ریز گزارش ارزی'!$G$8:$G$63,C160,'ریز گزارش ارزی'!$AO$8:$AO$63,D160,'ریز گزارش ارزی'!$AP$8:$AP$63,E160)</f>
        <v>0</v>
      </c>
      <c r="H160" s="62">
        <f>SUMIFS('ریز گزارش ارزی'!$AD$8:$AD$63,'ریز گزارش ارزی'!$AD$8:$AD$63,"&gt;0",'ریز گزارش ارزی'!$AG$8:$AG$63,"قرض",'ریز گزارش ارزی'!$H$8:$H$63,F160,'ریز گزارش ارزی'!$F$8:$F$63,B160,'ریز گزارش ارزی'!$G$8:$G$63,C160,'ریز گزارش ارزی'!$AO$8:$AO$63,D160,'ریز گزارش ارزی'!$AP$8:$AP$63,E160)</f>
        <v>0</v>
      </c>
      <c r="I160" s="62">
        <f>SUMIFS('ریز گزارش ارزی'!$AC$8:$AC$63,'ریز گزارش ارزی'!$AC$8:$AC$63,"&gt;0",'ریز گزارش ارزی'!$AG$8:$AG$63,"عودت قرض",'ریز گزارش ارزی'!$H$8:$H$63,F160,'ریز گزارش ارزی'!$F$8:$F$63,B160,'ریز گزارش ارزی'!$G$8:$G$63,C160,'ریز گزارش ارزی'!$AO$8:$AO$63,D160,'ریز گزارش ارزی'!$AP$8:$AP$63,E160)</f>
        <v>0</v>
      </c>
      <c r="J160" s="62">
        <f>SUMIFS('ریز گزارش ارزی'!$AD$8:$AD$63,'ریز گزارش ارزی'!$AD$8:$AD$63,"&gt;0",'ریز گزارش ارزی'!$AG$8:$AG$63,"عودت قرض",'ریز گزارش ارزی'!$H$8:$H$63,F160,'ریز گزارش ارزی'!$F$8:$F$63,B160,'ریز گزارش ارزی'!$G$8:$G$63,C160,'ریز گزارش ارزی'!$AO$8:$AO$63,D160,'ریز گزارش ارزی'!$AP$8:$AP$63,E160)</f>
        <v>0</v>
      </c>
      <c r="K160" s="63">
        <f t="shared" si="52"/>
        <v>0</v>
      </c>
      <c r="L160" s="63">
        <f t="shared" si="48"/>
        <v>0</v>
      </c>
      <c r="M160" s="64">
        <f t="shared" si="53"/>
        <v>0</v>
      </c>
      <c r="N160" s="65" t="str">
        <f t="shared" si="49"/>
        <v>بی‌حساب</v>
      </c>
    </row>
    <row r="161" spans="2:14" ht="17.25" customHeight="1">
      <c r="B161" s="145" t="s">
        <v>156</v>
      </c>
      <c r="C161" s="142" t="s">
        <v>3</v>
      </c>
      <c r="D161" s="55" t="s">
        <v>0</v>
      </c>
      <c r="E161" s="56" t="s">
        <v>148</v>
      </c>
      <c r="F161" s="56" t="s">
        <v>37</v>
      </c>
      <c r="G161" s="62">
        <f>SUMIFS('ریز گزارش ارزی'!$AC$8:$AC$63,'ریز گزارش ارزی'!$AC$8:$AC$63,"&gt;0",'ریز گزارش ارزی'!$AG$8:$AG$63,"قرض",'ریز گزارش ارزی'!$H$8:$H$63,F161,'ریز گزارش ارزی'!$F$8:$F$63,B161,'ریز گزارش ارزی'!$G$8:$G$63,C161,'ریز گزارش ارزی'!$AO$8:$AO$63,D161,'ریز گزارش ارزی'!$AP$8:$AP$63,E161)</f>
        <v>0</v>
      </c>
      <c r="H161" s="62">
        <f>SUMIFS('ریز گزارش ارزی'!$AD$8:$AD$63,'ریز گزارش ارزی'!$AD$8:$AD$63,"&gt;0",'ریز گزارش ارزی'!$AG$8:$AG$63,"قرض",'ریز گزارش ارزی'!$H$8:$H$63,F161,'ریز گزارش ارزی'!$F$8:$F$63,B161,'ریز گزارش ارزی'!$G$8:$G$63,C161,'ریز گزارش ارزی'!$AO$8:$AO$63,D161,'ریز گزارش ارزی'!$AP$8:$AP$63,E161)</f>
        <v>0</v>
      </c>
      <c r="I161" s="62">
        <f>SUMIFS('ریز گزارش ارزی'!$AC$8:$AC$63,'ریز گزارش ارزی'!$AC$8:$AC$63,"&gt;0",'ریز گزارش ارزی'!$AG$8:$AG$63,"عودت قرض",'ریز گزارش ارزی'!$H$8:$H$63,F161,'ریز گزارش ارزی'!$F$8:$F$63,B161,'ریز گزارش ارزی'!$G$8:$G$63,C161,'ریز گزارش ارزی'!$AO$8:$AO$63,D161,'ریز گزارش ارزی'!$AP$8:$AP$63,E161)</f>
        <v>0</v>
      </c>
      <c r="J161" s="62">
        <f>SUMIFS('ریز گزارش ارزی'!$AD$8:$AD$63,'ریز گزارش ارزی'!$AD$8:$AD$63,"&gt;0",'ریز گزارش ارزی'!$AG$8:$AG$63,"عودت قرض",'ریز گزارش ارزی'!$H$8:$H$63,F161,'ریز گزارش ارزی'!$F$8:$F$63,B161,'ریز گزارش ارزی'!$G$8:$G$63,C161,'ریز گزارش ارزی'!$AO$8:$AO$63,D161,'ریز گزارش ارزی'!$AP$8:$AP$63,E161)</f>
        <v>0</v>
      </c>
      <c r="K161" s="63">
        <f t="shared" si="52"/>
        <v>0</v>
      </c>
      <c r="L161" s="63">
        <f t="shared" ref="L161:L187" si="54">G161-J161</f>
        <v>0</v>
      </c>
      <c r="M161" s="64">
        <f t="shared" si="53"/>
        <v>0</v>
      </c>
      <c r="N161" s="65" t="str">
        <f t="shared" ref="N161:N187" si="55">IF(M161=0,"بی‌حساب",IF(M161&gt;0,"طلبکار","بدهکار"))</f>
        <v>بی‌حساب</v>
      </c>
    </row>
    <row r="162" spans="2:14" ht="17.25" customHeight="1">
      <c r="B162" s="145" t="s">
        <v>156</v>
      </c>
      <c r="C162" s="142" t="s">
        <v>3</v>
      </c>
      <c r="D162" s="55" t="s">
        <v>1</v>
      </c>
      <c r="E162" s="56" t="s">
        <v>148</v>
      </c>
      <c r="F162" s="56" t="s">
        <v>37</v>
      </c>
      <c r="G162" s="62">
        <f>SUMIFS('ریز گزارش ارزی'!$AC$8:$AC$63,'ریز گزارش ارزی'!$AC$8:$AC$63,"&gt;0",'ریز گزارش ارزی'!$AG$8:$AG$63,"قرض",'ریز گزارش ارزی'!$H$8:$H$63,F162,'ریز گزارش ارزی'!$F$8:$F$63,B162,'ریز گزارش ارزی'!$G$8:$G$63,C162,'ریز گزارش ارزی'!$AO$8:$AO$63,D162,'ریز گزارش ارزی'!$AP$8:$AP$63,E162)</f>
        <v>0</v>
      </c>
      <c r="H162" s="62">
        <f>SUMIFS('ریز گزارش ارزی'!$AD$8:$AD$63,'ریز گزارش ارزی'!$AD$8:$AD$63,"&gt;0",'ریز گزارش ارزی'!$AG$8:$AG$63,"قرض",'ریز گزارش ارزی'!$H$8:$H$63,F162,'ریز گزارش ارزی'!$F$8:$F$63,B162,'ریز گزارش ارزی'!$G$8:$G$63,C162,'ریز گزارش ارزی'!$AO$8:$AO$63,D162,'ریز گزارش ارزی'!$AP$8:$AP$63,E162)</f>
        <v>0</v>
      </c>
      <c r="I162" s="62">
        <f>SUMIFS('ریز گزارش ارزی'!$AC$8:$AC$63,'ریز گزارش ارزی'!$AC$8:$AC$63,"&gt;0",'ریز گزارش ارزی'!$AG$8:$AG$63,"عودت قرض",'ریز گزارش ارزی'!$H$8:$H$63,F162,'ریز گزارش ارزی'!$F$8:$F$63,B162,'ریز گزارش ارزی'!$G$8:$G$63,C162,'ریز گزارش ارزی'!$AO$8:$AO$63,D162,'ریز گزارش ارزی'!$AP$8:$AP$63,E162)</f>
        <v>0</v>
      </c>
      <c r="J162" s="62">
        <f>SUMIFS('ریز گزارش ارزی'!$AD$8:$AD$63,'ریز گزارش ارزی'!$AD$8:$AD$63,"&gt;0",'ریز گزارش ارزی'!$AG$8:$AG$63,"عودت قرض",'ریز گزارش ارزی'!$H$8:$H$63,F162,'ریز گزارش ارزی'!$F$8:$F$63,B162,'ریز گزارش ارزی'!$G$8:$G$63,C162,'ریز گزارش ارزی'!$AO$8:$AO$63,D162,'ریز گزارش ارزی'!$AP$8:$AP$63,E162)</f>
        <v>0</v>
      </c>
      <c r="K162" s="63">
        <f t="shared" si="52"/>
        <v>0</v>
      </c>
      <c r="L162" s="63">
        <f t="shared" si="54"/>
        <v>0</v>
      </c>
      <c r="M162" s="64">
        <f t="shared" si="53"/>
        <v>0</v>
      </c>
      <c r="N162" s="65" t="str">
        <f t="shared" si="55"/>
        <v>بی‌حساب</v>
      </c>
    </row>
    <row r="163" spans="2:14" ht="17.25" customHeight="1">
      <c r="B163" s="145" t="s">
        <v>156</v>
      </c>
      <c r="C163" s="142" t="s">
        <v>3</v>
      </c>
      <c r="D163" s="55" t="s">
        <v>3</v>
      </c>
      <c r="E163" s="56" t="s">
        <v>148</v>
      </c>
      <c r="F163" s="56" t="s">
        <v>37</v>
      </c>
      <c r="G163" s="62">
        <f>SUMIFS('ریز گزارش ارزی'!$AC$8:$AC$63,'ریز گزارش ارزی'!$AC$8:$AC$63,"&gt;0",'ریز گزارش ارزی'!$AG$8:$AG$63,"قرض",'ریز گزارش ارزی'!$H$8:$H$63,F163,'ریز گزارش ارزی'!$F$8:$F$63,B163,'ریز گزارش ارزی'!$G$8:$G$63,C163,'ریز گزارش ارزی'!$AO$8:$AO$63,D163,'ریز گزارش ارزی'!$AP$8:$AP$63,E163)</f>
        <v>0</v>
      </c>
      <c r="H163" s="62">
        <f>SUMIFS('ریز گزارش ارزی'!$AD$8:$AD$63,'ریز گزارش ارزی'!$AD$8:$AD$63,"&gt;0",'ریز گزارش ارزی'!$AG$8:$AG$63,"قرض",'ریز گزارش ارزی'!$H$8:$H$63,F163,'ریز گزارش ارزی'!$F$8:$F$63,B163,'ریز گزارش ارزی'!$G$8:$G$63,C163,'ریز گزارش ارزی'!$AO$8:$AO$63,D163,'ریز گزارش ارزی'!$AP$8:$AP$63,E163)</f>
        <v>0</v>
      </c>
      <c r="I163" s="62">
        <f>SUMIFS('ریز گزارش ارزی'!$AC$8:$AC$63,'ریز گزارش ارزی'!$AC$8:$AC$63,"&gt;0",'ریز گزارش ارزی'!$AG$8:$AG$63,"عودت قرض",'ریز گزارش ارزی'!$H$8:$H$63,F163,'ریز گزارش ارزی'!$F$8:$F$63,B163,'ریز گزارش ارزی'!$G$8:$G$63,C163,'ریز گزارش ارزی'!$AO$8:$AO$63,D163,'ریز گزارش ارزی'!$AP$8:$AP$63,E163)</f>
        <v>0</v>
      </c>
      <c r="J163" s="62">
        <f>SUMIFS('ریز گزارش ارزی'!$AD$8:$AD$63,'ریز گزارش ارزی'!$AD$8:$AD$63,"&gt;0",'ریز گزارش ارزی'!$AG$8:$AG$63,"عودت قرض",'ریز گزارش ارزی'!$H$8:$H$63,F163,'ریز گزارش ارزی'!$F$8:$F$63,B163,'ریز گزارش ارزی'!$G$8:$G$63,C163,'ریز گزارش ارزی'!$AO$8:$AO$63,D163,'ریز گزارش ارزی'!$AP$8:$AP$63,E163)</f>
        <v>0</v>
      </c>
      <c r="K163" s="63">
        <f t="shared" si="52"/>
        <v>0</v>
      </c>
      <c r="L163" s="63">
        <f t="shared" si="54"/>
        <v>0</v>
      </c>
      <c r="M163" s="64">
        <f t="shared" si="53"/>
        <v>0</v>
      </c>
      <c r="N163" s="65" t="str">
        <f t="shared" si="55"/>
        <v>بی‌حساب</v>
      </c>
    </row>
    <row r="164" spans="2:14" ht="17.25" customHeight="1">
      <c r="B164" s="145" t="s">
        <v>156</v>
      </c>
      <c r="C164" s="142" t="s">
        <v>3</v>
      </c>
      <c r="D164" s="55" t="s">
        <v>9</v>
      </c>
      <c r="E164" s="56" t="s">
        <v>148</v>
      </c>
      <c r="F164" s="56" t="s">
        <v>37</v>
      </c>
      <c r="G164" s="62">
        <f>SUMIFS('ریز گزارش ارزی'!$AC$8:$AC$63,'ریز گزارش ارزی'!$AC$8:$AC$63,"&gt;0",'ریز گزارش ارزی'!$AG$8:$AG$63,"قرض",'ریز گزارش ارزی'!$H$8:$H$63,F164,'ریز گزارش ارزی'!$F$8:$F$63,B164,'ریز گزارش ارزی'!$G$8:$G$63,C164,'ریز گزارش ارزی'!$AO$8:$AO$63,D164,'ریز گزارش ارزی'!$AP$8:$AP$63,E164)</f>
        <v>0</v>
      </c>
      <c r="H164" s="62">
        <f>SUMIFS('ریز گزارش ارزی'!$AD$8:$AD$63,'ریز گزارش ارزی'!$AD$8:$AD$63,"&gt;0",'ریز گزارش ارزی'!$AG$8:$AG$63,"قرض",'ریز گزارش ارزی'!$H$8:$H$63,F164,'ریز گزارش ارزی'!$F$8:$F$63,B164,'ریز گزارش ارزی'!$G$8:$G$63,C164,'ریز گزارش ارزی'!$AO$8:$AO$63,D164,'ریز گزارش ارزی'!$AP$8:$AP$63,E164)</f>
        <v>0</v>
      </c>
      <c r="I164" s="62">
        <f>SUMIFS('ریز گزارش ارزی'!$AC$8:$AC$63,'ریز گزارش ارزی'!$AC$8:$AC$63,"&gt;0",'ریز گزارش ارزی'!$AG$8:$AG$63,"عودت قرض",'ریز گزارش ارزی'!$H$8:$H$63,F164,'ریز گزارش ارزی'!$F$8:$F$63,B164,'ریز گزارش ارزی'!$G$8:$G$63,C164,'ریز گزارش ارزی'!$AO$8:$AO$63,D164,'ریز گزارش ارزی'!$AP$8:$AP$63,E164)</f>
        <v>0</v>
      </c>
      <c r="J164" s="62">
        <f>SUMIFS('ریز گزارش ارزی'!$AD$8:$AD$63,'ریز گزارش ارزی'!$AD$8:$AD$63,"&gt;0",'ریز گزارش ارزی'!$AG$8:$AG$63,"عودت قرض",'ریز گزارش ارزی'!$H$8:$H$63,F164,'ریز گزارش ارزی'!$F$8:$F$63,B164,'ریز گزارش ارزی'!$G$8:$G$63,C164,'ریز گزارش ارزی'!$AO$8:$AO$63,D164,'ریز گزارش ارزی'!$AP$8:$AP$63,E164)</f>
        <v>0</v>
      </c>
      <c r="K164" s="63">
        <f t="shared" si="52"/>
        <v>0</v>
      </c>
      <c r="L164" s="63">
        <f t="shared" si="54"/>
        <v>0</v>
      </c>
      <c r="M164" s="64">
        <f t="shared" si="53"/>
        <v>0</v>
      </c>
      <c r="N164" s="65" t="str">
        <f t="shared" si="55"/>
        <v>بی‌حساب</v>
      </c>
    </row>
    <row r="165" spans="2:14" ht="17.25" customHeight="1">
      <c r="B165" s="145" t="s">
        <v>156</v>
      </c>
      <c r="C165" s="142" t="s">
        <v>3</v>
      </c>
      <c r="D165" s="55" t="s">
        <v>14</v>
      </c>
      <c r="E165" s="56" t="s">
        <v>148</v>
      </c>
      <c r="F165" s="56" t="s">
        <v>37</v>
      </c>
      <c r="G165" s="62">
        <f>SUMIFS('ریز گزارش ارزی'!$AC$8:$AC$63,'ریز گزارش ارزی'!$AC$8:$AC$63,"&gt;0",'ریز گزارش ارزی'!$AG$8:$AG$63,"قرض",'ریز گزارش ارزی'!$H$8:$H$63,F165,'ریز گزارش ارزی'!$F$8:$F$63,B165,'ریز گزارش ارزی'!$G$8:$G$63,C165,'ریز گزارش ارزی'!$AO$8:$AO$63,D165,'ریز گزارش ارزی'!$AP$8:$AP$63,E165)</f>
        <v>0</v>
      </c>
      <c r="H165" s="62">
        <f>SUMIFS('ریز گزارش ارزی'!$AD$8:$AD$63,'ریز گزارش ارزی'!$AD$8:$AD$63,"&gt;0",'ریز گزارش ارزی'!$AG$8:$AG$63,"قرض",'ریز گزارش ارزی'!$H$8:$H$63,F165,'ریز گزارش ارزی'!$F$8:$F$63,B165,'ریز گزارش ارزی'!$G$8:$G$63,C165,'ریز گزارش ارزی'!$AO$8:$AO$63,D165,'ریز گزارش ارزی'!$AP$8:$AP$63,E165)</f>
        <v>0</v>
      </c>
      <c r="I165" s="62">
        <f>SUMIFS('ریز گزارش ارزی'!$AC$8:$AC$63,'ریز گزارش ارزی'!$AC$8:$AC$63,"&gt;0",'ریز گزارش ارزی'!$AG$8:$AG$63,"عودت قرض",'ریز گزارش ارزی'!$H$8:$H$63,F165,'ریز گزارش ارزی'!$F$8:$F$63,B165,'ریز گزارش ارزی'!$G$8:$G$63,C165,'ریز گزارش ارزی'!$AO$8:$AO$63,D165,'ریز گزارش ارزی'!$AP$8:$AP$63,E165)</f>
        <v>0</v>
      </c>
      <c r="J165" s="62">
        <f>SUMIFS('ریز گزارش ارزی'!$AD$8:$AD$63,'ریز گزارش ارزی'!$AD$8:$AD$63,"&gt;0",'ریز گزارش ارزی'!$AG$8:$AG$63,"عودت قرض",'ریز گزارش ارزی'!$H$8:$H$63,F165,'ریز گزارش ارزی'!$F$8:$F$63,B165,'ریز گزارش ارزی'!$G$8:$G$63,C165,'ریز گزارش ارزی'!$AO$8:$AO$63,D165,'ریز گزارش ارزی'!$AP$8:$AP$63,E165)</f>
        <v>0</v>
      </c>
      <c r="K165" s="63">
        <f t="shared" si="52"/>
        <v>0</v>
      </c>
      <c r="L165" s="63">
        <f t="shared" si="54"/>
        <v>0</v>
      </c>
      <c r="M165" s="64">
        <f t="shared" si="53"/>
        <v>0</v>
      </c>
      <c r="N165" s="65" t="str">
        <f t="shared" si="55"/>
        <v>بی‌حساب</v>
      </c>
    </row>
    <row r="166" spans="2:14" ht="17.25" customHeight="1">
      <c r="B166" s="145" t="s">
        <v>156</v>
      </c>
      <c r="C166" s="142" t="s">
        <v>3</v>
      </c>
      <c r="D166" s="55" t="s">
        <v>5</v>
      </c>
      <c r="E166" s="56" t="s">
        <v>148</v>
      </c>
      <c r="F166" s="56" t="s">
        <v>37</v>
      </c>
      <c r="G166" s="62">
        <f>SUMIFS('ریز گزارش ارزی'!$AC$8:$AC$63,'ریز گزارش ارزی'!$AC$8:$AC$63,"&gt;0",'ریز گزارش ارزی'!$AG$8:$AG$63,"قرض",'ریز گزارش ارزی'!$H$8:$H$63,F166,'ریز گزارش ارزی'!$F$8:$F$63,B166,'ریز گزارش ارزی'!$G$8:$G$63,C166,'ریز گزارش ارزی'!$AO$8:$AO$63,D166,'ریز گزارش ارزی'!$AP$8:$AP$63,E166)</f>
        <v>0</v>
      </c>
      <c r="H166" s="62">
        <f>SUMIFS('ریز گزارش ارزی'!$AD$8:$AD$63,'ریز گزارش ارزی'!$AD$8:$AD$63,"&gt;0",'ریز گزارش ارزی'!$AG$8:$AG$63,"قرض",'ریز گزارش ارزی'!$H$8:$H$63,F166,'ریز گزارش ارزی'!$F$8:$F$63,B166,'ریز گزارش ارزی'!$G$8:$G$63,C166,'ریز گزارش ارزی'!$AO$8:$AO$63,D166,'ریز گزارش ارزی'!$AP$8:$AP$63,E166)</f>
        <v>0</v>
      </c>
      <c r="I166" s="62">
        <f>SUMIFS('ریز گزارش ارزی'!$AC$8:$AC$63,'ریز گزارش ارزی'!$AC$8:$AC$63,"&gt;0",'ریز گزارش ارزی'!$AG$8:$AG$63,"عودت قرض",'ریز گزارش ارزی'!$H$8:$H$63,F166,'ریز گزارش ارزی'!$F$8:$F$63,B166,'ریز گزارش ارزی'!$G$8:$G$63,C166,'ریز گزارش ارزی'!$AO$8:$AO$63,D166,'ریز گزارش ارزی'!$AP$8:$AP$63,E166)</f>
        <v>0</v>
      </c>
      <c r="J166" s="62">
        <f>SUMIFS('ریز گزارش ارزی'!$AD$8:$AD$63,'ریز گزارش ارزی'!$AD$8:$AD$63,"&gt;0",'ریز گزارش ارزی'!$AG$8:$AG$63,"عودت قرض",'ریز گزارش ارزی'!$H$8:$H$63,F166,'ریز گزارش ارزی'!$F$8:$F$63,B166,'ریز گزارش ارزی'!$G$8:$G$63,C166,'ریز گزارش ارزی'!$AO$8:$AO$63,D166,'ریز گزارش ارزی'!$AP$8:$AP$63,E166)</f>
        <v>0</v>
      </c>
      <c r="K166" s="63">
        <f t="shared" si="52"/>
        <v>0</v>
      </c>
      <c r="L166" s="63">
        <f t="shared" si="54"/>
        <v>0</v>
      </c>
      <c r="M166" s="64">
        <f t="shared" si="53"/>
        <v>0</v>
      </c>
      <c r="N166" s="65" t="str">
        <f t="shared" si="55"/>
        <v>بی‌حساب</v>
      </c>
    </row>
    <row r="167" spans="2:14" ht="17.25" customHeight="1">
      <c r="B167" s="145" t="s">
        <v>156</v>
      </c>
      <c r="C167" s="59" t="s">
        <v>9</v>
      </c>
      <c r="D167" s="144" t="s">
        <v>6</v>
      </c>
      <c r="E167" s="145" t="s">
        <v>148</v>
      </c>
      <c r="F167" s="145" t="s">
        <v>37</v>
      </c>
      <c r="G167" s="146">
        <f>SUMIFS('ریز گزارش ارزی'!$AC$8:$AC$63,'ریز گزارش ارزی'!$AC$8:$AC$63,"&gt;0",'ریز گزارش ارزی'!$AG$8:$AG$63,"قرض",'ریز گزارش ارزی'!$H$8:$H$63,F167,'ریز گزارش ارزی'!$F$8:$F$63,B167,'ریز گزارش ارزی'!$G$8:$G$63,C167,'ریز گزارش ارزی'!$AO$8:$AO$63,D167,'ریز گزارش ارزی'!$AP$8:$AP$63,E167)</f>
        <v>0</v>
      </c>
      <c r="H167" s="146">
        <f>SUMIFS('ریز گزارش ارزی'!$AD$8:$AD$63,'ریز گزارش ارزی'!$AD$8:$AD$63,"&gt;0",'ریز گزارش ارزی'!$AG$8:$AG$63,"قرض",'ریز گزارش ارزی'!$H$8:$H$63,F167,'ریز گزارش ارزی'!$F$8:$F$63,B167,'ریز گزارش ارزی'!$G$8:$G$63,C167,'ریز گزارش ارزی'!$AO$8:$AO$63,D167,'ریز گزارش ارزی'!$AP$8:$AP$63,E167)</f>
        <v>0</v>
      </c>
      <c r="I167" s="146">
        <f>SUMIFS('ریز گزارش ارزی'!$AC$8:$AC$63,'ریز گزارش ارزی'!$AC$8:$AC$63,"&gt;0",'ریز گزارش ارزی'!$AG$8:$AG$63,"عودت قرض",'ریز گزارش ارزی'!$H$8:$H$63,F167,'ریز گزارش ارزی'!$F$8:$F$63,B167,'ریز گزارش ارزی'!$G$8:$G$63,C167,'ریز گزارش ارزی'!$AO$8:$AO$63,D167,'ریز گزارش ارزی'!$AP$8:$AP$63,E167)</f>
        <v>0</v>
      </c>
      <c r="J167" s="146">
        <f>SUMIFS('ریز گزارش ارزی'!$AD$8:$AD$63,'ریز گزارش ارزی'!$AD$8:$AD$63,"&gt;0",'ریز گزارش ارزی'!$AG$8:$AG$63,"عودت قرض",'ریز گزارش ارزی'!$H$8:$H$63,F167,'ریز گزارش ارزی'!$F$8:$F$63,B167,'ریز گزارش ارزی'!$G$8:$G$63,C167,'ریز گزارش ارزی'!$AO$8:$AO$63,D167,'ریز گزارش ارزی'!$AP$8:$AP$63,E167)</f>
        <v>0</v>
      </c>
      <c r="K167" s="63">
        <f t="shared" si="52"/>
        <v>0</v>
      </c>
      <c r="L167" s="63">
        <f t="shared" si="54"/>
        <v>0</v>
      </c>
      <c r="M167" s="64">
        <f t="shared" si="53"/>
        <v>0</v>
      </c>
      <c r="N167" s="65" t="str">
        <f t="shared" si="55"/>
        <v>بی‌حساب</v>
      </c>
    </row>
    <row r="168" spans="2:14" ht="17.25" customHeight="1">
      <c r="B168" s="145" t="s">
        <v>156</v>
      </c>
      <c r="C168" s="59" t="s">
        <v>9</v>
      </c>
      <c r="D168" s="144" t="s">
        <v>0</v>
      </c>
      <c r="E168" s="145" t="s">
        <v>148</v>
      </c>
      <c r="F168" s="145" t="s">
        <v>37</v>
      </c>
      <c r="G168" s="146">
        <f>SUMIFS('ریز گزارش ارزی'!$AC$8:$AC$63,'ریز گزارش ارزی'!$AC$8:$AC$63,"&gt;0",'ریز گزارش ارزی'!$AG$8:$AG$63,"قرض",'ریز گزارش ارزی'!$H$8:$H$63,F168,'ریز گزارش ارزی'!$F$8:$F$63,B168,'ریز گزارش ارزی'!$G$8:$G$63,C168,'ریز گزارش ارزی'!$AO$8:$AO$63,D168,'ریز گزارش ارزی'!$AP$8:$AP$63,E168)</f>
        <v>0</v>
      </c>
      <c r="H168" s="146">
        <f>SUMIFS('ریز گزارش ارزی'!$AD$8:$AD$63,'ریز گزارش ارزی'!$AD$8:$AD$63,"&gt;0",'ریز گزارش ارزی'!$AG$8:$AG$63,"قرض",'ریز گزارش ارزی'!$H$8:$H$63,F168,'ریز گزارش ارزی'!$F$8:$F$63,B168,'ریز گزارش ارزی'!$G$8:$G$63,C168,'ریز گزارش ارزی'!$AO$8:$AO$63,D168,'ریز گزارش ارزی'!$AP$8:$AP$63,E168)</f>
        <v>0</v>
      </c>
      <c r="I168" s="146">
        <f>SUMIFS('ریز گزارش ارزی'!$AC$8:$AC$63,'ریز گزارش ارزی'!$AC$8:$AC$63,"&gt;0",'ریز گزارش ارزی'!$AG$8:$AG$63,"عودت قرض",'ریز گزارش ارزی'!$H$8:$H$63,F168,'ریز گزارش ارزی'!$F$8:$F$63,B168,'ریز گزارش ارزی'!$G$8:$G$63,C168,'ریز گزارش ارزی'!$AO$8:$AO$63,D168,'ریز گزارش ارزی'!$AP$8:$AP$63,E168)</f>
        <v>0</v>
      </c>
      <c r="J168" s="146">
        <f>SUMIFS('ریز گزارش ارزی'!$AD$8:$AD$63,'ریز گزارش ارزی'!$AD$8:$AD$63,"&gt;0",'ریز گزارش ارزی'!$AG$8:$AG$63,"عودت قرض",'ریز گزارش ارزی'!$H$8:$H$63,F168,'ریز گزارش ارزی'!$F$8:$F$63,B168,'ریز گزارش ارزی'!$G$8:$G$63,C168,'ریز گزارش ارزی'!$AO$8:$AO$63,D168,'ریز گزارش ارزی'!$AP$8:$AP$63,E168)</f>
        <v>0</v>
      </c>
      <c r="K168" s="63">
        <f t="shared" si="52"/>
        <v>0</v>
      </c>
      <c r="L168" s="63">
        <f t="shared" si="54"/>
        <v>0</v>
      </c>
      <c r="M168" s="64">
        <f t="shared" si="53"/>
        <v>0</v>
      </c>
      <c r="N168" s="65" t="str">
        <f t="shared" si="55"/>
        <v>بی‌حساب</v>
      </c>
    </row>
    <row r="169" spans="2:14" ht="17.25" customHeight="1">
      <c r="B169" s="145" t="s">
        <v>156</v>
      </c>
      <c r="C169" s="59" t="s">
        <v>9</v>
      </c>
      <c r="D169" s="144" t="s">
        <v>1</v>
      </c>
      <c r="E169" s="145" t="s">
        <v>148</v>
      </c>
      <c r="F169" s="145" t="s">
        <v>37</v>
      </c>
      <c r="G169" s="146">
        <f>SUMIFS('ریز گزارش ارزی'!$AC$8:$AC$63,'ریز گزارش ارزی'!$AC$8:$AC$63,"&gt;0",'ریز گزارش ارزی'!$AG$8:$AG$63,"قرض",'ریز گزارش ارزی'!$H$8:$H$63,F169,'ریز گزارش ارزی'!$F$8:$F$63,B169,'ریز گزارش ارزی'!$G$8:$G$63,C169,'ریز گزارش ارزی'!$AO$8:$AO$63,D169,'ریز گزارش ارزی'!$AP$8:$AP$63,E169)</f>
        <v>0</v>
      </c>
      <c r="H169" s="146">
        <f>SUMIFS('ریز گزارش ارزی'!$AD$8:$AD$63,'ریز گزارش ارزی'!$AD$8:$AD$63,"&gt;0",'ریز گزارش ارزی'!$AG$8:$AG$63,"قرض",'ریز گزارش ارزی'!$H$8:$H$63,F169,'ریز گزارش ارزی'!$F$8:$F$63,B169,'ریز گزارش ارزی'!$G$8:$G$63,C169,'ریز گزارش ارزی'!$AO$8:$AO$63,D169,'ریز گزارش ارزی'!$AP$8:$AP$63,E169)</f>
        <v>0</v>
      </c>
      <c r="I169" s="146">
        <f>SUMIFS('ریز گزارش ارزی'!$AC$8:$AC$63,'ریز گزارش ارزی'!$AC$8:$AC$63,"&gt;0",'ریز گزارش ارزی'!$AG$8:$AG$63,"عودت قرض",'ریز گزارش ارزی'!$H$8:$H$63,F169,'ریز گزارش ارزی'!$F$8:$F$63,B169,'ریز گزارش ارزی'!$G$8:$G$63,C169,'ریز گزارش ارزی'!$AO$8:$AO$63,D169,'ریز گزارش ارزی'!$AP$8:$AP$63,E169)</f>
        <v>0</v>
      </c>
      <c r="J169" s="146">
        <f>SUMIFS('ریز گزارش ارزی'!$AD$8:$AD$63,'ریز گزارش ارزی'!$AD$8:$AD$63,"&gt;0",'ریز گزارش ارزی'!$AG$8:$AG$63,"عودت قرض",'ریز گزارش ارزی'!$H$8:$H$63,F169,'ریز گزارش ارزی'!$F$8:$F$63,B169,'ریز گزارش ارزی'!$G$8:$G$63,C169,'ریز گزارش ارزی'!$AO$8:$AO$63,D169,'ریز گزارش ارزی'!$AP$8:$AP$63,E169)</f>
        <v>0</v>
      </c>
      <c r="K169" s="63">
        <f t="shared" si="52"/>
        <v>0</v>
      </c>
      <c r="L169" s="63">
        <f t="shared" si="54"/>
        <v>0</v>
      </c>
      <c r="M169" s="64">
        <f t="shared" si="53"/>
        <v>0</v>
      </c>
      <c r="N169" s="65" t="str">
        <f t="shared" si="55"/>
        <v>بی‌حساب</v>
      </c>
    </row>
    <row r="170" spans="2:14" ht="17.25" customHeight="1">
      <c r="B170" s="145" t="s">
        <v>156</v>
      </c>
      <c r="C170" s="59" t="s">
        <v>9</v>
      </c>
      <c r="D170" s="144" t="s">
        <v>3</v>
      </c>
      <c r="E170" s="145" t="s">
        <v>148</v>
      </c>
      <c r="F170" s="145" t="s">
        <v>37</v>
      </c>
      <c r="G170" s="146">
        <f>SUMIFS('ریز گزارش ارزی'!$AC$8:$AC$63,'ریز گزارش ارزی'!$AC$8:$AC$63,"&gt;0",'ریز گزارش ارزی'!$AG$8:$AG$63,"قرض",'ریز گزارش ارزی'!$H$8:$H$63,F170,'ریز گزارش ارزی'!$F$8:$F$63,B170,'ریز گزارش ارزی'!$G$8:$G$63,C170,'ریز گزارش ارزی'!$AO$8:$AO$63,D170,'ریز گزارش ارزی'!$AP$8:$AP$63,E170)</f>
        <v>0</v>
      </c>
      <c r="H170" s="146">
        <f>SUMIFS('ریز گزارش ارزی'!$AD$8:$AD$63,'ریز گزارش ارزی'!$AD$8:$AD$63,"&gt;0",'ریز گزارش ارزی'!$AG$8:$AG$63,"قرض",'ریز گزارش ارزی'!$H$8:$H$63,F170,'ریز گزارش ارزی'!$F$8:$F$63,B170,'ریز گزارش ارزی'!$G$8:$G$63,C170,'ریز گزارش ارزی'!$AO$8:$AO$63,D170,'ریز گزارش ارزی'!$AP$8:$AP$63,E170)</f>
        <v>0</v>
      </c>
      <c r="I170" s="146">
        <f>SUMIFS('ریز گزارش ارزی'!$AC$8:$AC$63,'ریز گزارش ارزی'!$AC$8:$AC$63,"&gt;0",'ریز گزارش ارزی'!$AG$8:$AG$63,"عودت قرض",'ریز گزارش ارزی'!$H$8:$H$63,F170,'ریز گزارش ارزی'!$F$8:$F$63,B170,'ریز گزارش ارزی'!$G$8:$G$63,C170,'ریز گزارش ارزی'!$AO$8:$AO$63,D170,'ریز گزارش ارزی'!$AP$8:$AP$63,E170)</f>
        <v>0</v>
      </c>
      <c r="J170" s="146">
        <f>SUMIFS('ریز گزارش ارزی'!$AD$8:$AD$63,'ریز گزارش ارزی'!$AD$8:$AD$63,"&gt;0",'ریز گزارش ارزی'!$AG$8:$AG$63,"عودت قرض",'ریز گزارش ارزی'!$H$8:$H$63,F170,'ریز گزارش ارزی'!$F$8:$F$63,B170,'ریز گزارش ارزی'!$G$8:$G$63,C170,'ریز گزارش ارزی'!$AO$8:$AO$63,D170,'ریز گزارش ارزی'!$AP$8:$AP$63,E170)</f>
        <v>0</v>
      </c>
      <c r="K170" s="63">
        <f t="shared" si="52"/>
        <v>0</v>
      </c>
      <c r="L170" s="63">
        <f t="shared" si="54"/>
        <v>0</v>
      </c>
      <c r="M170" s="64">
        <f t="shared" si="53"/>
        <v>0</v>
      </c>
      <c r="N170" s="65" t="str">
        <f t="shared" si="55"/>
        <v>بی‌حساب</v>
      </c>
    </row>
    <row r="171" spans="2:14" ht="17.25" customHeight="1">
      <c r="B171" s="145" t="s">
        <v>156</v>
      </c>
      <c r="C171" s="59" t="s">
        <v>9</v>
      </c>
      <c r="D171" s="144" t="s">
        <v>9</v>
      </c>
      <c r="E171" s="145" t="s">
        <v>148</v>
      </c>
      <c r="F171" s="145" t="s">
        <v>37</v>
      </c>
      <c r="G171" s="146">
        <f>SUMIFS('ریز گزارش ارزی'!$AC$8:$AC$63,'ریز گزارش ارزی'!$AC$8:$AC$63,"&gt;0",'ریز گزارش ارزی'!$AG$8:$AG$63,"قرض",'ریز گزارش ارزی'!$H$8:$H$63,F171,'ریز گزارش ارزی'!$F$8:$F$63,B171,'ریز گزارش ارزی'!$G$8:$G$63,C171,'ریز گزارش ارزی'!$AO$8:$AO$63,D171,'ریز گزارش ارزی'!$AP$8:$AP$63,E171)</f>
        <v>0</v>
      </c>
      <c r="H171" s="146">
        <f>SUMIFS('ریز گزارش ارزی'!$AD$8:$AD$63,'ریز گزارش ارزی'!$AD$8:$AD$63,"&gt;0",'ریز گزارش ارزی'!$AG$8:$AG$63,"قرض",'ریز گزارش ارزی'!$H$8:$H$63,F171,'ریز گزارش ارزی'!$F$8:$F$63,B171,'ریز گزارش ارزی'!$G$8:$G$63,C171,'ریز گزارش ارزی'!$AO$8:$AO$63,D171,'ریز گزارش ارزی'!$AP$8:$AP$63,E171)</f>
        <v>0</v>
      </c>
      <c r="I171" s="146">
        <f>SUMIFS('ریز گزارش ارزی'!$AC$8:$AC$63,'ریز گزارش ارزی'!$AC$8:$AC$63,"&gt;0",'ریز گزارش ارزی'!$AG$8:$AG$63,"عودت قرض",'ریز گزارش ارزی'!$H$8:$H$63,F171,'ریز گزارش ارزی'!$F$8:$F$63,B171,'ریز گزارش ارزی'!$G$8:$G$63,C171,'ریز گزارش ارزی'!$AO$8:$AO$63,D171,'ریز گزارش ارزی'!$AP$8:$AP$63,E171)</f>
        <v>0</v>
      </c>
      <c r="J171" s="146">
        <f>SUMIFS('ریز گزارش ارزی'!$AD$8:$AD$63,'ریز گزارش ارزی'!$AD$8:$AD$63,"&gt;0",'ریز گزارش ارزی'!$AG$8:$AG$63,"عودت قرض",'ریز گزارش ارزی'!$H$8:$H$63,F171,'ریز گزارش ارزی'!$F$8:$F$63,B171,'ریز گزارش ارزی'!$G$8:$G$63,C171,'ریز گزارش ارزی'!$AO$8:$AO$63,D171,'ریز گزارش ارزی'!$AP$8:$AP$63,E171)</f>
        <v>0</v>
      </c>
      <c r="K171" s="63">
        <f t="shared" si="52"/>
        <v>0</v>
      </c>
      <c r="L171" s="63">
        <f t="shared" si="54"/>
        <v>0</v>
      </c>
      <c r="M171" s="64">
        <f t="shared" si="53"/>
        <v>0</v>
      </c>
      <c r="N171" s="65" t="str">
        <f t="shared" si="55"/>
        <v>بی‌حساب</v>
      </c>
    </row>
    <row r="172" spans="2:14" ht="17.25" customHeight="1">
      <c r="B172" s="145" t="s">
        <v>156</v>
      </c>
      <c r="C172" s="59" t="s">
        <v>9</v>
      </c>
      <c r="D172" s="144" t="s">
        <v>14</v>
      </c>
      <c r="E172" s="145" t="s">
        <v>148</v>
      </c>
      <c r="F172" s="145" t="s">
        <v>37</v>
      </c>
      <c r="G172" s="146">
        <f>SUMIFS('ریز گزارش ارزی'!$AC$8:$AC$63,'ریز گزارش ارزی'!$AC$8:$AC$63,"&gt;0",'ریز گزارش ارزی'!$AG$8:$AG$63,"قرض",'ریز گزارش ارزی'!$H$8:$H$63,F172,'ریز گزارش ارزی'!$F$8:$F$63,B172,'ریز گزارش ارزی'!$G$8:$G$63,C172,'ریز گزارش ارزی'!$AO$8:$AO$63,D172,'ریز گزارش ارزی'!$AP$8:$AP$63,E172)</f>
        <v>0</v>
      </c>
      <c r="H172" s="146">
        <f>SUMIFS('ریز گزارش ارزی'!$AD$8:$AD$63,'ریز گزارش ارزی'!$AD$8:$AD$63,"&gt;0",'ریز گزارش ارزی'!$AG$8:$AG$63,"قرض",'ریز گزارش ارزی'!$H$8:$H$63,F172,'ریز گزارش ارزی'!$F$8:$F$63,B172,'ریز گزارش ارزی'!$G$8:$G$63,C172,'ریز گزارش ارزی'!$AO$8:$AO$63,D172,'ریز گزارش ارزی'!$AP$8:$AP$63,E172)</f>
        <v>0</v>
      </c>
      <c r="I172" s="146">
        <f>SUMIFS('ریز گزارش ارزی'!$AC$8:$AC$63,'ریز گزارش ارزی'!$AC$8:$AC$63,"&gt;0",'ریز گزارش ارزی'!$AG$8:$AG$63,"عودت قرض",'ریز گزارش ارزی'!$H$8:$H$63,F172,'ریز گزارش ارزی'!$F$8:$F$63,B172,'ریز گزارش ارزی'!$G$8:$G$63,C172,'ریز گزارش ارزی'!$AO$8:$AO$63,D172,'ریز گزارش ارزی'!$AP$8:$AP$63,E172)</f>
        <v>0</v>
      </c>
      <c r="J172" s="146">
        <f>SUMIFS('ریز گزارش ارزی'!$AD$8:$AD$63,'ریز گزارش ارزی'!$AD$8:$AD$63,"&gt;0",'ریز گزارش ارزی'!$AG$8:$AG$63,"عودت قرض",'ریز گزارش ارزی'!$H$8:$H$63,F172,'ریز گزارش ارزی'!$F$8:$F$63,B172,'ریز گزارش ارزی'!$G$8:$G$63,C172,'ریز گزارش ارزی'!$AO$8:$AO$63,D172,'ریز گزارش ارزی'!$AP$8:$AP$63,E172)</f>
        <v>0</v>
      </c>
      <c r="K172" s="63">
        <f t="shared" si="52"/>
        <v>0</v>
      </c>
      <c r="L172" s="63">
        <f t="shared" si="54"/>
        <v>0</v>
      </c>
      <c r="M172" s="64">
        <f t="shared" si="53"/>
        <v>0</v>
      </c>
      <c r="N172" s="65" t="str">
        <f t="shared" si="55"/>
        <v>بی‌حساب</v>
      </c>
    </row>
    <row r="173" spans="2:14" ht="17.25" customHeight="1">
      <c r="B173" s="145" t="s">
        <v>156</v>
      </c>
      <c r="C173" s="59" t="s">
        <v>9</v>
      </c>
      <c r="D173" s="144" t="s">
        <v>5</v>
      </c>
      <c r="E173" s="145" t="s">
        <v>148</v>
      </c>
      <c r="F173" s="145" t="s">
        <v>37</v>
      </c>
      <c r="G173" s="146">
        <f>SUMIFS('ریز گزارش ارزی'!$AC$8:$AC$63,'ریز گزارش ارزی'!$AC$8:$AC$63,"&gt;0",'ریز گزارش ارزی'!$AG$8:$AG$63,"قرض",'ریز گزارش ارزی'!$H$8:$H$63,F173,'ریز گزارش ارزی'!$F$8:$F$63,B173,'ریز گزارش ارزی'!$G$8:$G$63,C173,'ریز گزارش ارزی'!$AO$8:$AO$63,D173,'ریز گزارش ارزی'!$AP$8:$AP$63,E173)</f>
        <v>0</v>
      </c>
      <c r="H173" s="146">
        <f>SUMIFS('ریز گزارش ارزی'!$AD$8:$AD$63,'ریز گزارش ارزی'!$AD$8:$AD$63,"&gt;0",'ریز گزارش ارزی'!$AG$8:$AG$63,"قرض",'ریز گزارش ارزی'!$H$8:$H$63,F173,'ریز گزارش ارزی'!$F$8:$F$63,B173,'ریز گزارش ارزی'!$G$8:$G$63,C173,'ریز گزارش ارزی'!$AO$8:$AO$63,D173,'ریز گزارش ارزی'!$AP$8:$AP$63,E173)</f>
        <v>0</v>
      </c>
      <c r="I173" s="146">
        <f>SUMIFS('ریز گزارش ارزی'!$AC$8:$AC$63,'ریز گزارش ارزی'!$AC$8:$AC$63,"&gt;0",'ریز گزارش ارزی'!$AG$8:$AG$63,"عودت قرض",'ریز گزارش ارزی'!$H$8:$H$63,F173,'ریز گزارش ارزی'!$F$8:$F$63,B173,'ریز گزارش ارزی'!$G$8:$G$63,C173,'ریز گزارش ارزی'!$AO$8:$AO$63,D173,'ریز گزارش ارزی'!$AP$8:$AP$63,E173)</f>
        <v>0</v>
      </c>
      <c r="J173" s="146">
        <f>SUMIFS('ریز گزارش ارزی'!$AD$8:$AD$63,'ریز گزارش ارزی'!$AD$8:$AD$63,"&gt;0",'ریز گزارش ارزی'!$AG$8:$AG$63,"عودت قرض",'ریز گزارش ارزی'!$H$8:$H$63,F173,'ریز گزارش ارزی'!$F$8:$F$63,B173,'ریز گزارش ارزی'!$G$8:$G$63,C173,'ریز گزارش ارزی'!$AO$8:$AO$63,D173,'ریز گزارش ارزی'!$AP$8:$AP$63,E173)</f>
        <v>0</v>
      </c>
      <c r="K173" s="63">
        <f t="shared" si="52"/>
        <v>0</v>
      </c>
      <c r="L173" s="63">
        <f t="shared" si="54"/>
        <v>0</v>
      </c>
      <c r="M173" s="64">
        <f t="shared" si="53"/>
        <v>0</v>
      </c>
      <c r="N173" s="65" t="str">
        <f t="shared" si="55"/>
        <v>بی‌حساب</v>
      </c>
    </row>
    <row r="174" spans="2:14" ht="17.25" customHeight="1">
      <c r="B174" s="145" t="s">
        <v>156</v>
      </c>
      <c r="C174" s="60" t="s">
        <v>14</v>
      </c>
      <c r="D174" s="55" t="s">
        <v>6</v>
      </c>
      <c r="E174" s="56" t="s">
        <v>148</v>
      </c>
      <c r="F174" s="56" t="s">
        <v>37</v>
      </c>
      <c r="G174" s="62">
        <f>SUMIFS('ریز گزارش ارزی'!$AC$8:$AC$63,'ریز گزارش ارزی'!$AC$8:$AC$63,"&gt;0",'ریز گزارش ارزی'!$AG$8:$AG$63,"قرض",'ریز گزارش ارزی'!$H$8:$H$63,F174,'ریز گزارش ارزی'!$F$8:$F$63,B174,'ریز گزارش ارزی'!$G$8:$G$63,C174,'ریز گزارش ارزی'!$AO$8:$AO$63,D174,'ریز گزارش ارزی'!$AP$8:$AP$63,E174)</f>
        <v>0</v>
      </c>
      <c r="H174" s="62">
        <f>SUMIFS('ریز گزارش ارزی'!$AD$8:$AD$63,'ریز گزارش ارزی'!$AD$8:$AD$63,"&gt;0",'ریز گزارش ارزی'!$AG$8:$AG$63,"قرض",'ریز گزارش ارزی'!$H$8:$H$63,F174,'ریز گزارش ارزی'!$F$8:$F$63,B174,'ریز گزارش ارزی'!$G$8:$G$63,C174,'ریز گزارش ارزی'!$AO$8:$AO$63,D174,'ریز گزارش ارزی'!$AP$8:$AP$63,E174)</f>
        <v>0</v>
      </c>
      <c r="I174" s="62">
        <f>SUMIFS('ریز گزارش ارزی'!$AC$8:$AC$63,'ریز گزارش ارزی'!$AC$8:$AC$63,"&gt;0",'ریز گزارش ارزی'!$AG$8:$AG$63,"عودت قرض",'ریز گزارش ارزی'!$H$8:$H$63,F174,'ریز گزارش ارزی'!$F$8:$F$63,B174,'ریز گزارش ارزی'!$G$8:$G$63,C174,'ریز گزارش ارزی'!$AO$8:$AO$63,D174,'ریز گزارش ارزی'!$AP$8:$AP$63,E174)</f>
        <v>0</v>
      </c>
      <c r="J174" s="62">
        <f>SUMIFS('ریز گزارش ارزی'!$AD$8:$AD$63,'ریز گزارش ارزی'!$AD$8:$AD$63,"&gt;0",'ریز گزارش ارزی'!$AG$8:$AG$63,"عودت قرض",'ریز گزارش ارزی'!$H$8:$H$63,F174,'ریز گزارش ارزی'!$F$8:$F$63,B174,'ریز گزارش ارزی'!$G$8:$G$63,C174,'ریز گزارش ارزی'!$AO$8:$AO$63,D174,'ریز گزارش ارزی'!$AP$8:$AP$63,E174)</f>
        <v>0</v>
      </c>
      <c r="K174" s="63">
        <f t="shared" si="52"/>
        <v>0</v>
      </c>
      <c r="L174" s="63">
        <f t="shared" si="54"/>
        <v>0</v>
      </c>
      <c r="M174" s="64">
        <f t="shared" si="53"/>
        <v>0</v>
      </c>
      <c r="N174" s="65" t="str">
        <f t="shared" si="55"/>
        <v>بی‌حساب</v>
      </c>
    </row>
    <row r="175" spans="2:14" ht="17.25" customHeight="1">
      <c r="B175" s="145" t="s">
        <v>156</v>
      </c>
      <c r="C175" s="60" t="s">
        <v>14</v>
      </c>
      <c r="D175" s="55" t="s">
        <v>0</v>
      </c>
      <c r="E175" s="56" t="s">
        <v>148</v>
      </c>
      <c r="F175" s="56" t="s">
        <v>37</v>
      </c>
      <c r="G175" s="62">
        <f>SUMIFS('ریز گزارش ارزی'!$AC$8:$AC$63,'ریز گزارش ارزی'!$AC$8:$AC$63,"&gt;0",'ریز گزارش ارزی'!$AG$8:$AG$63,"قرض",'ریز گزارش ارزی'!$H$8:$H$63,F175,'ریز گزارش ارزی'!$F$8:$F$63,B175,'ریز گزارش ارزی'!$G$8:$G$63,C175,'ریز گزارش ارزی'!$AO$8:$AO$63,D175,'ریز گزارش ارزی'!$AP$8:$AP$63,E175)</f>
        <v>0</v>
      </c>
      <c r="H175" s="62">
        <f>SUMIFS('ریز گزارش ارزی'!$AD$8:$AD$63,'ریز گزارش ارزی'!$AD$8:$AD$63,"&gt;0",'ریز گزارش ارزی'!$AG$8:$AG$63,"قرض",'ریز گزارش ارزی'!$H$8:$H$63,F175,'ریز گزارش ارزی'!$F$8:$F$63,B175,'ریز گزارش ارزی'!$G$8:$G$63,C175,'ریز گزارش ارزی'!$AO$8:$AO$63,D175,'ریز گزارش ارزی'!$AP$8:$AP$63,E175)</f>
        <v>0</v>
      </c>
      <c r="I175" s="62">
        <f>SUMIFS('ریز گزارش ارزی'!$AC$8:$AC$63,'ریز گزارش ارزی'!$AC$8:$AC$63,"&gt;0",'ریز گزارش ارزی'!$AG$8:$AG$63,"عودت قرض",'ریز گزارش ارزی'!$H$8:$H$63,F175,'ریز گزارش ارزی'!$F$8:$F$63,B175,'ریز گزارش ارزی'!$G$8:$G$63,C175,'ریز گزارش ارزی'!$AO$8:$AO$63,D175,'ریز گزارش ارزی'!$AP$8:$AP$63,E175)</f>
        <v>0</v>
      </c>
      <c r="J175" s="62">
        <f>SUMIFS('ریز گزارش ارزی'!$AD$8:$AD$63,'ریز گزارش ارزی'!$AD$8:$AD$63,"&gt;0",'ریز گزارش ارزی'!$AG$8:$AG$63,"عودت قرض",'ریز گزارش ارزی'!$H$8:$H$63,F175,'ریز گزارش ارزی'!$F$8:$F$63,B175,'ریز گزارش ارزی'!$G$8:$G$63,C175,'ریز گزارش ارزی'!$AO$8:$AO$63,D175,'ریز گزارش ارزی'!$AP$8:$AP$63,E175)</f>
        <v>0</v>
      </c>
      <c r="K175" s="63">
        <f t="shared" si="52"/>
        <v>0</v>
      </c>
      <c r="L175" s="63">
        <f t="shared" si="54"/>
        <v>0</v>
      </c>
      <c r="M175" s="64">
        <f t="shared" si="53"/>
        <v>0</v>
      </c>
      <c r="N175" s="65" t="str">
        <f t="shared" si="55"/>
        <v>بی‌حساب</v>
      </c>
    </row>
    <row r="176" spans="2:14" ht="17.25" customHeight="1">
      <c r="B176" s="145" t="s">
        <v>156</v>
      </c>
      <c r="C176" s="60" t="s">
        <v>14</v>
      </c>
      <c r="D176" s="55" t="s">
        <v>1</v>
      </c>
      <c r="E176" s="56" t="s">
        <v>148</v>
      </c>
      <c r="F176" s="56" t="s">
        <v>37</v>
      </c>
      <c r="G176" s="62">
        <f>SUMIFS('ریز گزارش ارزی'!$AC$8:$AC$63,'ریز گزارش ارزی'!$AC$8:$AC$63,"&gt;0",'ریز گزارش ارزی'!$AG$8:$AG$63,"قرض",'ریز گزارش ارزی'!$H$8:$H$63,F176,'ریز گزارش ارزی'!$F$8:$F$63,B176,'ریز گزارش ارزی'!$G$8:$G$63,C176,'ریز گزارش ارزی'!$AO$8:$AO$63,D176,'ریز گزارش ارزی'!$AP$8:$AP$63,E176)</f>
        <v>0</v>
      </c>
      <c r="H176" s="62">
        <f>SUMIFS('ریز گزارش ارزی'!$AD$8:$AD$63,'ریز گزارش ارزی'!$AD$8:$AD$63,"&gt;0",'ریز گزارش ارزی'!$AG$8:$AG$63,"قرض",'ریز گزارش ارزی'!$H$8:$H$63,F176,'ریز گزارش ارزی'!$F$8:$F$63,B176,'ریز گزارش ارزی'!$G$8:$G$63,C176,'ریز گزارش ارزی'!$AO$8:$AO$63,D176,'ریز گزارش ارزی'!$AP$8:$AP$63,E176)</f>
        <v>0</v>
      </c>
      <c r="I176" s="62">
        <f>SUMIFS('ریز گزارش ارزی'!$AC$8:$AC$63,'ریز گزارش ارزی'!$AC$8:$AC$63,"&gt;0",'ریز گزارش ارزی'!$AG$8:$AG$63,"عودت قرض",'ریز گزارش ارزی'!$H$8:$H$63,F176,'ریز گزارش ارزی'!$F$8:$F$63,B176,'ریز گزارش ارزی'!$G$8:$G$63,C176,'ریز گزارش ارزی'!$AO$8:$AO$63,D176,'ریز گزارش ارزی'!$AP$8:$AP$63,E176)</f>
        <v>0</v>
      </c>
      <c r="J176" s="62">
        <f>SUMIFS('ریز گزارش ارزی'!$AD$8:$AD$63,'ریز گزارش ارزی'!$AD$8:$AD$63,"&gt;0",'ریز گزارش ارزی'!$AG$8:$AG$63,"عودت قرض",'ریز گزارش ارزی'!$H$8:$H$63,F176,'ریز گزارش ارزی'!$F$8:$F$63,B176,'ریز گزارش ارزی'!$G$8:$G$63,C176,'ریز گزارش ارزی'!$AO$8:$AO$63,D176,'ریز گزارش ارزی'!$AP$8:$AP$63,E176)</f>
        <v>0</v>
      </c>
      <c r="K176" s="63">
        <f t="shared" si="52"/>
        <v>0</v>
      </c>
      <c r="L176" s="63">
        <f t="shared" si="54"/>
        <v>0</v>
      </c>
      <c r="M176" s="64">
        <f t="shared" si="53"/>
        <v>0</v>
      </c>
      <c r="N176" s="65" t="str">
        <f t="shared" si="55"/>
        <v>بی‌حساب</v>
      </c>
    </row>
    <row r="177" spans="2:14" ht="17.25" customHeight="1">
      <c r="B177" s="145" t="s">
        <v>156</v>
      </c>
      <c r="C177" s="60" t="s">
        <v>14</v>
      </c>
      <c r="D177" s="55" t="s">
        <v>3</v>
      </c>
      <c r="E177" s="56" t="s">
        <v>148</v>
      </c>
      <c r="F177" s="56" t="s">
        <v>37</v>
      </c>
      <c r="G177" s="62">
        <f>SUMIFS('ریز گزارش ارزی'!$AC$8:$AC$63,'ریز گزارش ارزی'!$AC$8:$AC$63,"&gt;0",'ریز گزارش ارزی'!$AG$8:$AG$63,"قرض",'ریز گزارش ارزی'!$H$8:$H$63,F177,'ریز گزارش ارزی'!$F$8:$F$63,B177,'ریز گزارش ارزی'!$G$8:$G$63,C177,'ریز گزارش ارزی'!$AO$8:$AO$63,D177,'ریز گزارش ارزی'!$AP$8:$AP$63,E177)</f>
        <v>0</v>
      </c>
      <c r="H177" s="62">
        <f>SUMIFS('ریز گزارش ارزی'!$AD$8:$AD$63,'ریز گزارش ارزی'!$AD$8:$AD$63,"&gt;0",'ریز گزارش ارزی'!$AG$8:$AG$63,"قرض",'ریز گزارش ارزی'!$H$8:$H$63,F177,'ریز گزارش ارزی'!$F$8:$F$63,B177,'ریز گزارش ارزی'!$G$8:$G$63,C177,'ریز گزارش ارزی'!$AO$8:$AO$63,D177,'ریز گزارش ارزی'!$AP$8:$AP$63,E177)</f>
        <v>0</v>
      </c>
      <c r="I177" s="62">
        <f>SUMIFS('ریز گزارش ارزی'!$AC$8:$AC$63,'ریز گزارش ارزی'!$AC$8:$AC$63,"&gt;0",'ریز گزارش ارزی'!$AG$8:$AG$63,"عودت قرض",'ریز گزارش ارزی'!$H$8:$H$63,F177,'ریز گزارش ارزی'!$F$8:$F$63,B177,'ریز گزارش ارزی'!$G$8:$G$63,C177,'ریز گزارش ارزی'!$AO$8:$AO$63,D177,'ریز گزارش ارزی'!$AP$8:$AP$63,E177)</f>
        <v>0</v>
      </c>
      <c r="J177" s="62">
        <f>SUMIFS('ریز گزارش ارزی'!$AD$8:$AD$63,'ریز گزارش ارزی'!$AD$8:$AD$63,"&gt;0",'ریز گزارش ارزی'!$AG$8:$AG$63,"عودت قرض",'ریز گزارش ارزی'!$H$8:$H$63,F177,'ریز گزارش ارزی'!$F$8:$F$63,B177,'ریز گزارش ارزی'!$G$8:$G$63,C177,'ریز گزارش ارزی'!$AO$8:$AO$63,D177,'ریز گزارش ارزی'!$AP$8:$AP$63,E177)</f>
        <v>0</v>
      </c>
      <c r="K177" s="63">
        <f t="shared" si="52"/>
        <v>0</v>
      </c>
      <c r="L177" s="63">
        <f t="shared" si="54"/>
        <v>0</v>
      </c>
      <c r="M177" s="64">
        <f t="shared" si="53"/>
        <v>0</v>
      </c>
      <c r="N177" s="65" t="str">
        <f t="shared" si="55"/>
        <v>بی‌حساب</v>
      </c>
    </row>
    <row r="178" spans="2:14" ht="17.25" customHeight="1">
      <c r="B178" s="145" t="s">
        <v>156</v>
      </c>
      <c r="C178" s="60" t="s">
        <v>14</v>
      </c>
      <c r="D178" s="55" t="s">
        <v>9</v>
      </c>
      <c r="E178" s="56" t="s">
        <v>148</v>
      </c>
      <c r="F178" s="56" t="s">
        <v>37</v>
      </c>
      <c r="G178" s="62">
        <f>SUMIFS('ریز گزارش ارزی'!$AC$8:$AC$63,'ریز گزارش ارزی'!$AC$8:$AC$63,"&gt;0",'ریز گزارش ارزی'!$AG$8:$AG$63,"قرض",'ریز گزارش ارزی'!$H$8:$H$63,F178,'ریز گزارش ارزی'!$F$8:$F$63,B178,'ریز گزارش ارزی'!$G$8:$G$63,C178,'ریز گزارش ارزی'!$AO$8:$AO$63,D178,'ریز گزارش ارزی'!$AP$8:$AP$63,E178)</f>
        <v>0</v>
      </c>
      <c r="H178" s="62">
        <f>SUMIFS('ریز گزارش ارزی'!$AD$8:$AD$63,'ریز گزارش ارزی'!$AD$8:$AD$63,"&gt;0",'ریز گزارش ارزی'!$AG$8:$AG$63,"قرض",'ریز گزارش ارزی'!$H$8:$H$63,F178,'ریز گزارش ارزی'!$F$8:$F$63,B178,'ریز گزارش ارزی'!$G$8:$G$63,C178,'ریز گزارش ارزی'!$AO$8:$AO$63,D178,'ریز گزارش ارزی'!$AP$8:$AP$63,E178)</f>
        <v>0</v>
      </c>
      <c r="I178" s="62">
        <f>SUMIFS('ریز گزارش ارزی'!$AC$8:$AC$63,'ریز گزارش ارزی'!$AC$8:$AC$63,"&gt;0",'ریز گزارش ارزی'!$AG$8:$AG$63,"عودت قرض",'ریز گزارش ارزی'!$H$8:$H$63,F178,'ریز گزارش ارزی'!$F$8:$F$63,B178,'ریز گزارش ارزی'!$G$8:$G$63,C178,'ریز گزارش ارزی'!$AO$8:$AO$63,D178,'ریز گزارش ارزی'!$AP$8:$AP$63,E178)</f>
        <v>0</v>
      </c>
      <c r="J178" s="62">
        <f>SUMIFS('ریز گزارش ارزی'!$AD$8:$AD$63,'ریز گزارش ارزی'!$AD$8:$AD$63,"&gt;0",'ریز گزارش ارزی'!$AG$8:$AG$63,"عودت قرض",'ریز گزارش ارزی'!$H$8:$H$63,F178,'ریز گزارش ارزی'!$F$8:$F$63,B178,'ریز گزارش ارزی'!$G$8:$G$63,C178,'ریز گزارش ارزی'!$AO$8:$AO$63,D178,'ریز گزارش ارزی'!$AP$8:$AP$63,E178)</f>
        <v>0</v>
      </c>
      <c r="K178" s="63">
        <f t="shared" si="52"/>
        <v>0</v>
      </c>
      <c r="L178" s="63">
        <f t="shared" si="54"/>
        <v>0</v>
      </c>
      <c r="M178" s="64">
        <f t="shared" si="53"/>
        <v>0</v>
      </c>
      <c r="N178" s="65" t="str">
        <f t="shared" si="55"/>
        <v>بی‌حساب</v>
      </c>
    </row>
    <row r="179" spans="2:14" ht="17.25" customHeight="1">
      <c r="B179" s="145" t="s">
        <v>156</v>
      </c>
      <c r="C179" s="60" t="s">
        <v>14</v>
      </c>
      <c r="D179" s="55" t="s">
        <v>14</v>
      </c>
      <c r="E179" s="56" t="s">
        <v>148</v>
      </c>
      <c r="F179" s="56" t="s">
        <v>37</v>
      </c>
      <c r="G179" s="62">
        <f>SUMIFS('ریز گزارش ارزی'!$AC$8:$AC$63,'ریز گزارش ارزی'!$AC$8:$AC$63,"&gt;0",'ریز گزارش ارزی'!$AG$8:$AG$63,"قرض",'ریز گزارش ارزی'!$H$8:$H$63,F179,'ریز گزارش ارزی'!$F$8:$F$63,B179,'ریز گزارش ارزی'!$G$8:$G$63,C179,'ریز گزارش ارزی'!$AO$8:$AO$63,D179,'ریز گزارش ارزی'!$AP$8:$AP$63,E179)</f>
        <v>0</v>
      </c>
      <c r="H179" s="62">
        <f>SUMIFS('ریز گزارش ارزی'!$AD$8:$AD$63,'ریز گزارش ارزی'!$AD$8:$AD$63,"&gt;0",'ریز گزارش ارزی'!$AG$8:$AG$63,"قرض",'ریز گزارش ارزی'!$H$8:$H$63,F179,'ریز گزارش ارزی'!$F$8:$F$63,B179,'ریز گزارش ارزی'!$G$8:$G$63,C179,'ریز گزارش ارزی'!$AO$8:$AO$63,D179,'ریز گزارش ارزی'!$AP$8:$AP$63,E179)</f>
        <v>0</v>
      </c>
      <c r="I179" s="62">
        <f>SUMIFS('ریز گزارش ارزی'!$AC$8:$AC$63,'ریز گزارش ارزی'!$AC$8:$AC$63,"&gt;0",'ریز گزارش ارزی'!$AG$8:$AG$63,"عودت قرض",'ریز گزارش ارزی'!$H$8:$H$63,F179,'ریز گزارش ارزی'!$F$8:$F$63,B179,'ریز گزارش ارزی'!$G$8:$G$63,C179,'ریز گزارش ارزی'!$AO$8:$AO$63,D179,'ریز گزارش ارزی'!$AP$8:$AP$63,E179)</f>
        <v>0</v>
      </c>
      <c r="J179" s="62">
        <f>SUMIFS('ریز گزارش ارزی'!$AD$8:$AD$63,'ریز گزارش ارزی'!$AD$8:$AD$63,"&gt;0",'ریز گزارش ارزی'!$AG$8:$AG$63,"عودت قرض",'ریز گزارش ارزی'!$H$8:$H$63,F179,'ریز گزارش ارزی'!$F$8:$F$63,B179,'ریز گزارش ارزی'!$G$8:$G$63,C179,'ریز گزارش ارزی'!$AO$8:$AO$63,D179,'ریز گزارش ارزی'!$AP$8:$AP$63,E179)</f>
        <v>0</v>
      </c>
      <c r="K179" s="63">
        <f t="shared" si="52"/>
        <v>0</v>
      </c>
      <c r="L179" s="63">
        <f t="shared" si="54"/>
        <v>0</v>
      </c>
      <c r="M179" s="64">
        <f t="shared" si="53"/>
        <v>0</v>
      </c>
      <c r="N179" s="65" t="str">
        <f t="shared" si="55"/>
        <v>بی‌حساب</v>
      </c>
    </row>
    <row r="180" spans="2:14" ht="17.25" customHeight="1">
      <c r="B180" s="145" t="s">
        <v>156</v>
      </c>
      <c r="C180" s="60" t="s">
        <v>14</v>
      </c>
      <c r="D180" s="55" t="s">
        <v>5</v>
      </c>
      <c r="E180" s="56" t="s">
        <v>148</v>
      </c>
      <c r="F180" s="56" t="s">
        <v>37</v>
      </c>
      <c r="G180" s="62">
        <f>SUMIFS('ریز گزارش ارزی'!$AC$8:$AC$63,'ریز گزارش ارزی'!$AC$8:$AC$63,"&gt;0",'ریز گزارش ارزی'!$AG$8:$AG$63,"قرض",'ریز گزارش ارزی'!$H$8:$H$63,F180,'ریز گزارش ارزی'!$F$8:$F$63,B180,'ریز گزارش ارزی'!$G$8:$G$63,C180,'ریز گزارش ارزی'!$AO$8:$AO$63,D180,'ریز گزارش ارزی'!$AP$8:$AP$63,E180)</f>
        <v>0</v>
      </c>
      <c r="H180" s="62">
        <f>SUMIFS('ریز گزارش ارزی'!$AD$8:$AD$63,'ریز گزارش ارزی'!$AD$8:$AD$63,"&gt;0",'ریز گزارش ارزی'!$AG$8:$AG$63,"قرض",'ریز گزارش ارزی'!$H$8:$H$63,F180,'ریز گزارش ارزی'!$F$8:$F$63,B180,'ریز گزارش ارزی'!$G$8:$G$63,C180,'ریز گزارش ارزی'!$AO$8:$AO$63,D180,'ریز گزارش ارزی'!$AP$8:$AP$63,E180)</f>
        <v>0</v>
      </c>
      <c r="I180" s="62">
        <f>SUMIFS('ریز گزارش ارزی'!$AC$8:$AC$63,'ریز گزارش ارزی'!$AC$8:$AC$63,"&gt;0",'ریز گزارش ارزی'!$AG$8:$AG$63,"عودت قرض",'ریز گزارش ارزی'!$H$8:$H$63,F180,'ریز گزارش ارزی'!$F$8:$F$63,B180,'ریز گزارش ارزی'!$G$8:$G$63,C180,'ریز گزارش ارزی'!$AO$8:$AO$63,D180,'ریز گزارش ارزی'!$AP$8:$AP$63,E180)</f>
        <v>0</v>
      </c>
      <c r="J180" s="62">
        <f>SUMIFS('ریز گزارش ارزی'!$AD$8:$AD$63,'ریز گزارش ارزی'!$AD$8:$AD$63,"&gt;0",'ریز گزارش ارزی'!$AG$8:$AG$63,"عودت قرض",'ریز گزارش ارزی'!$H$8:$H$63,F180,'ریز گزارش ارزی'!$F$8:$F$63,B180,'ریز گزارش ارزی'!$G$8:$G$63,C180,'ریز گزارش ارزی'!$AO$8:$AO$63,D180,'ریز گزارش ارزی'!$AP$8:$AP$63,E180)</f>
        <v>0</v>
      </c>
      <c r="K180" s="63">
        <f t="shared" si="52"/>
        <v>0</v>
      </c>
      <c r="L180" s="63">
        <f t="shared" si="54"/>
        <v>0</v>
      </c>
      <c r="M180" s="64">
        <f t="shared" si="53"/>
        <v>0</v>
      </c>
      <c r="N180" s="65" t="str">
        <f t="shared" si="55"/>
        <v>بی‌حساب</v>
      </c>
    </row>
    <row r="181" spans="2:14" ht="17.25" customHeight="1">
      <c r="B181" s="145" t="s">
        <v>156</v>
      </c>
      <c r="C181" s="143" t="s">
        <v>5</v>
      </c>
      <c r="D181" s="144" t="s">
        <v>6</v>
      </c>
      <c r="E181" s="145" t="s">
        <v>148</v>
      </c>
      <c r="F181" s="145" t="s">
        <v>37</v>
      </c>
      <c r="G181" s="146">
        <f>SUMIFS('ریز گزارش ارزی'!$AC$8:$AC$63,'ریز گزارش ارزی'!$AC$8:$AC$63,"&gt;0",'ریز گزارش ارزی'!$AG$8:$AG$63,"قرض",'ریز گزارش ارزی'!$H$8:$H$63,F181,'ریز گزارش ارزی'!$F$8:$F$63,B181,'ریز گزارش ارزی'!$G$8:$G$63,C181,'ریز گزارش ارزی'!$AO$8:$AO$63,D181,'ریز گزارش ارزی'!$AP$8:$AP$63,E181)</f>
        <v>0</v>
      </c>
      <c r="H181" s="146">
        <f>SUMIFS('ریز گزارش ارزی'!$AD$8:$AD$63,'ریز گزارش ارزی'!$AD$8:$AD$63,"&gt;0",'ریز گزارش ارزی'!$AG$8:$AG$63,"قرض",'ریز گزارش ارزی'!$H$8:$H$63,F181,'ریز گزارش ارزی'!$F$8:$F$63,B181,'ریز گزارش ارزی'!$G$8:$G$63,C181,'ریز گزارش ارزی'!$AO$8:$AO$63,D181,'ریز گزارش ارزی'!$AP$8:$AP$63,E181)</f>
        <v>0</v>
      </c>
      <c r="I181" s="146">
        <f>SUMIFS('ریز گزارش ارزی'!$AC$8:$AC$63,'ریز گزارش ارزی'!$AC$8:$AC$63,"&gt;0",'ریز گزارش ارزی'!$AG$8:$AG$63,"عودت قرض",'ریز گزارش ارزی'!$H$8:$H$63,F181,'ریز گزارش ارزی'!$F$8:$F$63,B181,'ریز گزارش ارزی'!$G$8:$G$63,C181,'ریز گزارش ارزی'!$AO$8:$AO$63,D181,'ریز گزارش ارزی'!$AP$8:$AP$63,E181)</f>
        <v>0</v>
      </c>
      <c r="J181" s="146">
        <f>SUMIFS('ریز گزارش ارزی'!$AD$8:$AD$63,'ریز گزارش ارزی'!$AD$8:$AD$63,"&gt;0",'ریز گزارش ارزی'!$AG$8:$AG$63,"عودت قرض",'ریز گزارش ارزی'!$H$8:$H$63,F181,'ریز گزارش ارزی'!$F$8:$F$63,B181,'ریز گزارش ارزی'!$G$8:$G$63,C181,'ریز گزارش ارزی'!$AO$8:$AO$63,D181,'ریز گزارش ارزی'!$AP$8:$AP$63,E181)</f>
        <v>0</v>
      </c>
      <c r="K181" s="63">
        <f t="shared" si="52"/>
        <v>0</v>
      </c>
      <c r="L181" s="63">
        <f t="shared" si="54"/>
        <v>0</v>
      </c>
      <c r="M181" s="64">
        <f t="shared" si="53"/>
        <v>0</v>
      </c>
      <c r="N181" s="65" t="str">
        <f t="shared" si="55"/>
        <v>بی‌حساب</v>
      </c>
    </row>
    <row r="182" spans="2:14" ht="17.25" customHeight="1">
      <c r="B182" s="145" t="s">
        <v>156</v>
      </c>
      <c r="C182" s="143" t="s">
        <v>5</v>
      </c>
      <c r="D182" s="144" t="s">
        <v>0</v>
      </c>
      <c r="E182" s="145" t="s">
        <v>148</v>
      </c>
      <c r="F182" s="145" t="s">
        <v>37</v>
      </c>
      <c r="G182" s="146">
        <f>SUMIFS('ریز گزارش ارزی'!$AC$8:$AC$63,'ریز گزارش ارزی'!$AC$8:$AC$63,"&gt;0",'ریز گزارش ارزی'!$AG$8:$AG$63,"قرض",'ریز گزارش ارزی'!$H$8:$H$63,F182,'ریز گزارش ارزی'!$F$8:$F$63,B182,'ریز گزارش ارزی'!$G$8:$G$63,C182,'ریز گزارش ارزی'!$AO$8:$AO$63,D182,'ریز گزارش ارزی'!$AP$8:$AP$63,E182)</f>
        <v>0</v>
      </c>
      <c r="H182" s="146">
        <f>SUMIFS('ریز گزارش ارزی'!$AD$8:$AD$63,'ریز گزارش ارزی'!$AD$8:$AD$63,"&gt;0",'ریز گزارش ارزی'!$AG$8:$AG$63,"قرض",'ریز گزارش ارزی'!$H$8:$H$63,F182,'ریز گزارش ارزی'!$F$8:$F$63,B182,'ریز گزارش ارزی'!$G$8:$G$63,C182,'ریز گزارش ارزی'!$AO$8:$AO$63,D182,'ریز گزارش ارزی'!$AP$8:$AP$63,E182)</f>
        <v>0</v>
      </c>
      <c r="I182" s="146">
        <f>SUMIFS('ریز گزارش ارزی'!$AC$8:$AC$63,'ریز گزارش ارزی'!$AC$8:$AC$63,"&gt;0",'ریز گزارش ارزی'!$AG$8:$AG$63,"عودت قرض",'ریز گزارش ارزی'!$H$8:$H$63,F182,'ریز گزارش ارزی'!$F$8:$F$63,B182,'ریز گزارش ارزی'!$G$8:$G$63,C182,'ریز گزارش ارزی'!$AO$8:$AO$63,D182,'ریز گزارش ارزی'!$AP$8:$AP$63,E182)</f>
        <v>0</v>
      </c>
      <c r="J182" s="146">
        <f>SUMIFS('ریز گزارش ارزی'!$AD$8:$AD$63,'ریز گزارش ارزی'!$AD$8:$AD$63,"&gt;0",'ریز گزارش ارزی'!$AG$8:$AG$63,"عودت قرض",'ریز گزارش ارزی'!$H$8:$H$63,F182,'ریز گزارش ارزی'!$F$8:$F$63,B182,'ریز گزارش ارزی'!$G$8:$G$63,C182,'ریز گزارش ارزی'!$AO$8:$AO$63,D182,'ریز گزارش ارزی'!$AP$8:$AP$63,E182)</f>
        <v>0</v>
      </c>
      <c r="K182" s="63">
        <f t="shared" si="52"/>
        <v>0</v>
      </c>
      <c r="L182" s="63">
        <f t="shared" si="54"/>
        <v>0</v>
      </c>
      <c r="M182" s="64">
        <f t="shared" si="53"/>
        <v>0</v>
      </c>
      <c r="N182" s="65" t="str">
        <f t="shared" si="55"/>
        <v>بی‌حساب</v>
      </c>
    </row>
    <row r="183" spans="2:14" ht="17.25" customHeight="1">
      <c r="B183" s="145" t="s">
        <v>156</v>
      </c>
      <c r="C183" s="143" t="s">
        <v>5</v>
      </c>
      <c r="D183" s="144" t="s">
        <v>1</v>
      </c>
      <c r="E183" s="145" t="s">
        <v>148</v>
      </c>
      <c r="F183" s="145" t="s">
        <v>37</v>
      </c>
      <c r="G183" s="146">
        <f>SUMIFS('ریز گزارش ارزی'!$AC$8:$AC$63,'ریز گزارش ارزی'!$AC$8:$AC$63,"&gt;0",'ریز گزارش ارزی'!$AG$8:$AG$63,"قرض",'ریز گزارش ارزی'!$H$8:$H$63,F183,'ریز گزارش ارزی'!$F$8:$F$63,B183,'ریز گزارش ارزی'!$G$8:$G$63,C183,'ریز گزارش ارزی'!$AO$8:$AO$63,D183,'ریز گزارش ارزی'!$AP$8:$AP$63,E183)</f>
        <v>0</v>
      </c>
      <c r="H183" s="146">
        <f>SUMIFS('ریز گزارش ارزی'!$AD$8:$AD$63,'ریز گزارش ارزی'!$AD$8:$AD$63,"&gt;0",'ریز گزارش ارزی'!$AG$8:$AG$63,"قرض",'ریز گزارش ارزی'!$H$8:$H$63,F183,'ریز گزارش ارزی'!$F$8:$F$63,B183,'ریز گزارش ارزی'!$G$8:$G$63,C183,'ریز گزارش ارزی'!$AO$8:$AO$63,D183,'ریز گزارش ارزی'!$AP$8:$AP$63,E183)</f>
        <v>0</v>
      </c>
      <c r="I183" s="146">
        <f>SUMIFS('ریز گزارش ارزی'!$AC$8:$AC$63,'ریز گزارش ارزی'!$AC$8:$AC$63,"&gt;0",'ریز گزارش ارزی'!$AG$8:$AG$63,"عودت قرض",'ریز گزارش ارزی'!$H$8:$H$63,F183,'ریز گزارش ارزی'!$F$8:$F$63,B183,'ریز گزارش ارزی'!$G$8:$G$63,C183,'ریز گزارش ارزی'!$AO$8:$AO$63,D183,'ریز گزارش ارزی'!$AP$8:$AP$63,E183)</f>
        <v>0</v>
      </c>
      <c r="J183" s="146">
        <f>SUMIFS('ریز گزارش ارزی'!$AD$8:$AD$63,'ریز گزارش ارزی'!$AD$8:$AD$63,"&gt;0",'ریز گزارش ارزی'!$AG$8:$AG$63,"عودت قرض",'ریز گزارش ارزی'!$H$8:$H$63,F183,'ریز گزارش ارزی'!$F$8:$F$63,B183,'ریز گزارش ارزی'!$G$8:$G$63,C183,'ریز گزارش ارزی'!$AO$8:$AO$63,D183,'ریز گزارش ارزی'!$AP$8:$AP$63,E183)</f>
        <v>0</v>
      </c>
      <c r="K183" s="63">
        <f t="shared" si="52"/>
        <v>0</v>
      </c>
      <c r="L183" s="63">
        <f t="shared" si="54"/>
        <v>0</v>
      </c>
      <c r="M183" s="64">
        <f t="shared" si="53"/>
        <v>0</v>
      </c>
      <c r="N183" s="65" t="str">
        <f t="shared" si="55"/>
        <v>بی‌حساب</v>
      </c>
    </row>
    <row r="184" spans="2:14" ht="17.25" customHeight="1">
      <c r="B184" s="145" t="s">
        <v>156</v>
      </c>
      <c r="C184" s="143" t="s">
        <v>5</v>
      </c>
      <c r="D184" s="144" t="s">
        <v>3</v>
      </c>
      <c r="E184" s="145" t="s">
        <v>148</v>
      </c>
      <c r="F184" s="145" t="s">
        <v>37</v>
      </c>
      <c r="G184" s="146">
        <f>SUMIFS('ریز گزارش ارزی'!$AC$8:$AC$63,'ریز گزارش ارزی'!$AC$8:$AC$63,"&gt;0",'ریز گزارش ارزی'!$AG$8:$AG$63,"قرض",'ریز گزارش ارزی'!$H$8:$H$63,F184,'ریز گزارش ارزی'!$F$8:$F$63,B184,'ریز گزارش ارزی'!$G$8:$G$63,C184,'ریز گزارش ارزی'!$AO$8:$AO$63,D184,'ریز گزارش ارزی'!$AP$8:$AP$63,E184)</f>
        <v>0</v>
      </c>
      <c r="H184" s="146">
        <f>SUMIFS('ریز گزارش ارزی'!$AD$8:$AD$63,'ریز گزارش ارزی'!$AD$8:$AD$63,"&gt;0",'ریز گزارش ارزی'!$AG$8:$AG$63,"قرض",'ریز گزارش ارزی'!$H$8:$H$63,F184,'ریز گزارش ارزی'!$F$8:$F$63,B184,'ریز گزارش ارزی'!$G$8:$G$63,C184,'ریز گزارش ارزی'!$AO$8:$AO$63,D184,'ریز گزارش ارزی'!$AP$8:$AP$63,E184)</f>
        <v>0</v>
      </c>
      <c r="I184" s="146">
        <f>SUMIFS('ریز گزارش ارزی'!$AC$8:$AC$63,'ریز گزارش ارزی'!$AC$8:$AC$63,"&gt;0",'ریز گزارش ارزی'!$AG$8:$AG$63,"عودت قرض",'ریز گزارش ارزی'!$H$8:$H$63,F184,'ریز گزارش ارزی'!$F$8:$F$63,B184,'ریز گزارش ارزی'!$G$8:$G$63,C184,'ریز گزارش ارزی'!$AO$8:$AO$63,D184,'ریز گزارش ارزی'!$AP$8:$AP$63,E184)</f>
        <v>0</v>
      </c>
      <c r="J184" s="146">
        <f>SUMIFS('ریز گزارش ارزی'!$AD$8:$AD$63,'ریز گزارش ارزی'!$AD$8:$AD$63,"&gt;0",'ریز گزارش ارزی'!$AG$8:$AG$63,"عودت قرض",'ریز گزارش ارزی'!$H$8:$H$63,F184,'ریز گزارش ارزی'!$F$8:$F$63,B184,'ریز گزارش ارزی'!$G$8:$G$63,C184,'ریز گزارش ارزی'!$AO$8:$AO$63,D184,'ریز گزارش ارزی'!$AP$8:$AP$63,E184)</f>
        <v>0</v>
      </c>
      <c r="K184" s="63">
        <f t="shared" si="52"/>
        <v>0</v>
      </c>
      <c r="L184" s="63">
        <f t="shared" si="54"/>
        <v>0</v>
      </c>
      <c r="M184" s="64">
        <f t="shared" si="53"/>
        <v>0</v>
      </c>
      <c r="N184" s="65" t="str">
        <f t="shared" si="55"/>
        <v>بی‌حساب</v>
      </c>
    </row>
    <row r="185" spans="2:14" ht="17.25" customHeight="1">
      <c r="B185" s="145" t="s">
        <v>156</v>
      </c>
      <c r="C185" s="143" t="s">
        <v>5</v>
      </c>
      <c r="D185" s="144" t="s">
        <v>9</v>
      </c>
      <c r="E185" s="145" t="s">
        <v>148</v>
      </c>
      <c r="F185" s="145" t="s">
        <v>37</v>
      </c>
      <c r="G185" s="146">
        <f>SUMIFS('ریز گزارش ارزی'!$AC$8:$AC$63,'ریز گزارش ارزی'!$AC$8:$AC$63,"&gt;0",'ریز گزارش ارزی'!$AG$8:$AG$63,"قرض",'ریز گزارش ارزی'!$H$8:$H$63,F185,'ریز گزارش ارزی'!$F$8:$F$63,B185,'ریز گزارش ارزی'!$G$8:$G$63,C185,'ریز گزارش ارزی'!$AO$8:$AO$63,D185,'ریز گزارش ارزی'!$AP$8:$AP$63,E185)</f>
        <v>0</v>
      </c>
      <c r="H185" s="146">
        <f>SUMIFS('ریز گزارش ارزی'!$AD$8:$AD$63,'ریز گزارش ارزی'!$AD$8:$AD$63,"&gt;0",'ریز گزارش ارزی'!$AG$8:$AG$63,"قرض",'ریز گزارش ارزی'!$H$8:$H$63,F185,'ریز گزارش ارزی'!$F$8:$F$63,B185,'ریز گزارش ارزی'!$G$8:$G$63,C185,'ریز گزارش ارزی'!$AO$8:$AO$63,D185,'ریز گزارش ارزی'!$AP$8:$AP$63,E185)</f>
        <v>0</v>
      </c>
      <c r="I185" s="146">
        <f>SUMIFS('ریز گزارش ارزی'!$AC$8:$AC$63,'ریز گزارش ارزی'!$AC$8:$AC$63,"&gt;0",'ریز گزارش ارزی'!$AG$8:$AG$63,"عودت قرض",'ریز گزارش ارزی'!$H$8:$H$63,F185,'ریز گزارش ارزی'!$F$8:$F$63,B185,'ریز گزارش ارزی'!$G$8:$G$63,C185,'ریز گزارش ارزی'!$AO$8:$AO$63,D185,'ریز گزارش ارزی'!$AP$8:$AP$63,E185)</f>
        <v>0</v>
      </c>
      <c r="J185" s="146">
        <f>SUMIFS('ریز گزارش ارزی'!$AD$8:$AD$63,'ریز گزارش ارزی'!$AD$8:$AD$63,"&gt;0",'ریز گزارش ارزی'!$AG$8:$AG$63,"عودت قرض",'ریز گزارش ارزی'!$H$8:$H$63,F185,'ریز گزارش ارزی'!$F$8:$F$63,B185,'ریز گزارش ارزی'!$G$8:$G$63,C185,'ریز گزارش ارزی'!$AO$8:$AO$63,D185,'ریز گزارش ارزی'!$AP$8:$AP$63,E185)</f>
        <v>0</v>
      </c>
      <c r="K185" s="63">
        <f t="shared" si="52"/>
        <v>0</v>
      </c>
      <c r="L185" s="63">
        <f t="shared" si="54"/>
        <v>0</v>
      </c>
      <c r="M185" s="64">
        <f t="shared" si="53"/>
        <v>0</v>
      </c>
      <c r="N185" s="65" t="str">
        <f t="shared" si="55"/>
        <v>بی‌حساب</v>
      </c>
    </row>
    <row r="186" spans="2:14" ht="17.25" customHeight="1">
      <c r="B186" s="145" t="s">
        <v>156</v>
      </c>
      <c r="C186" s="143" t="s">
        <v>5</v>
      </c>
      <c r="D186" s="144" t="s">
        <v>14</v>
      </c>
      <c r="E186" s="145" t="s">
        <v>148</v>
      </c>
      <c r="F186" s="145" t="s">
        <v>37</v>
      </c>
      <c r="G186" s="146">
        <f>SUMIFS('ریز گزارش ارزی'!$AC$8:$AC$63,'ریز گزارش ارزی'!$AC$8:$AC$63,"&gt;0",'ریز گزارش ارزی'!$AG$8:$AG$63,"قرض",'ریز گزارش ارزی'!$H$8:$H$63,F186,'ریز گزارش ارزی'!$F$8:$F$63,B186,'ریز گزارش ارزی'!$G$8:$G$63,C186,'ریز گزارش ارزی'!$AO$8:$AO$63,D186,'ریز گزارش ارزی'!$AP$8:$AP$63,E186)</f>
        <v>0</v>
      </c>
      <c r="H186" s="146">
        <f>SUMIFS('ریز گزارش ارزی'!$AD$8:$AD$63,'ریز گزارش ارزی'!$AD$8:$AD$63,"&gt;0",'ریز گزارش ارزی'!$AG$8:$AG$63,"قرض",'ریز گزارش ارزی'!$H$8:$H$63,F186,'ریز گزارش ارزی'!$F$8:$F$63,B186,'ریز گزارش ارزی'!$G$8:$G$63,C186,'ریز گزارش ارزی'!$AO$8:$AO$63,D186,'ریز گزارش ارزی'!$AP$8:$AP$63,E186)</f>
        <v>0</v>
      </c>
      <c r="I186" s="146">
        <f>SUMIFS('ریز گزارش ارزی'!$AC$8:$AC$63,'ریز گزارش ارزی'!$AC$8:$AC$63,"&gt;0",'ریز گزارش ارزی'!$AG$8:$AG$63,"عودت قرض",'ریز گزارش ارزی'!$H$8:$H$63,F186,'ریز گزارش ارزی'!$F$8:$F$63,B186,'ریز گزارش ارزی'!$G$8:$G$63,C186,'ریز گزارش ارزی'!$AO$8:$AO$63,D186,'ریز گزارش ارزی'!$AP$8:$AP$63,E186)</f>
        <v>0</v>
      </c>
      <c r="J186" s="146">
        <f>SUMIFS('ریز گزارش ارزی'!$AD$8:$AD$63,'ریز گزارش ارزی'!$AD$8:$AD$63,"&gt;0",'ریز گزارش ارزی'!$AG$8:$AG$63,"عودت قرض",'ریز گزارش ارزی'!$H$8:$H$63,F186,'ریز گزارش ارزی'!$F$8:$F$63,B186,'ریز گزارش ارزی'!$G$8:$G$63,C186,'ریز گزارش ارزی'!$AO$8:$AO$63,D186,'ریز گزارش ارزی'!$AP$8:$AP$63,E186)</f>
        <v>0</v>
      </c>
      <c r="K186" s="63">
        <f t="shared" si="52"/>
        <v>0</v>
      </c>
      <c r="L186" s="63">
        <f t="shared" si="54"/>
        <v>0</v>
      </c>
      <c r="M186" s="64">
        <f t="shared" si="53"/>
        <v>0</v>
      </c>
      <c r="N186" s="65" t="str">
        <f t="shared" si="55"/>
        <v>بی‌حساب</v>
      </c>
    </row>
    <row r="187" spans="2:14" ht="17.25" customHeight="1">
      <c r="B187" s="145" t="s">
        <v>156</v>
      </c>
      <c r="C187" s="143" t="s">
        <v>5</v>
      </c>
      <c r="D187" s="144" t="s">
        <v>5</v>
      </c>
      <c r="E187" s="145" t="s">
        <v>148</v>
      </c>
      <c r="F187" s="145" t="s">
        <v>37</v>
      </c>
      <c r="G187" s="146">
        <f>SUMIFS('ریز گزارش ارزی'!$AC$8:$AC$63,'ریز گزارش ارزی'!$AC$8:$AC$63,"&gt;0",'ریز گزارش ارزی'!$AG$8:$AG$63,"قرض",'ریز گزارش ارزی'!$H$8:$H$63,F187,'ریز گزارش ارزی'!$F$8:$F$63,B187,'ریز گزارش ارزی'!$G$8:$G$63,C187,'ریز گزارش ارزی'!$AO$8:$AO$63,D187,'ریز گزارش ارزی'!$AP$8:$AP$63,E187)</f>
        <v>0</v>
      </c>
      <c r="H187" s="146">
        <f>SUMIFS('ریز گزارش ارزی'!$AD$8:$AD$63,'ریز گزارش ارزی'!$AD$8:$AD$63,"&gt;0",'ریز گزارش ارزی'!$AG$8:$AG$63,"قرض",'ریز گزارش ارزی'!$H$8:$H$63,F187,'ریز گزارش ارزی'!$F$8:$F$63,B187,'ریز گزارش ارزی'!$G$8:$G$63,C187,'ریز گزارش ارزی'!$AO$8:$AO$63,D187,'ریز گزارش ارزی'!$AP$8:$AP$63,E187)</f>
        <v>0</v>
      </c>
      <c r="I187" s="146">
        <f>SUMIFS('ریز گزارش ارزی'!$AC$8:$AC$63,'ریز گزارش ارزی'!$AC$8:$AC$63,"&gt;0",'ریز گزارش ارزی'!$AG$8:$AG$63,"عودت قرض",'ریز گزارش ارزی'!$H$8:$H$63,F187,'ریز گزارش ارزی'!$F$8:$F$63,B187,'ریز گزارش ارزی'!$G$8:$G$63,C187,'ریز گزارش ارزی'!$AO$8:$AO$63,D187,'ریز گزارش ارزی'!$AP$8:$AP$63,E187)</f>
        <v>0</v>
      </c>
      <c r="J187" s="146">
        <f>SUMIFS('ریز گزارش ارزی'!$AD$8:$AD$63,'ریز گزارش ارزی'!$AD$8:$AD$63,"&gt;0",'ریز گزارش ارزی'!$AG$8:$AG$63,"عودت قرض",'ریز گزارش ارزی'!$H$8:$H$63,F187,'ریز گزارش ارزی'!$F$8:$F$63,B187,'ریز گزارش ارزی'!$G$8:$G$63,C187,'ریز گزارش ارزی'!$AO$8:$AO$63,D187,'ریز گزارش ارزی'!$AP$8:$AP$63,E187)</f>
        <v>0</v>
      </c>
      <c r="K187" s="63">
        <f t="shared" si="52"/>
        <v>0</v>
      </c>
      <c r="L187" s="63">
        <f t="shared" si="54"/>
        <v>0</v>
      </c>
      <c r="M187" s="64">
        <f t="shared" si="53"/>
        <v>0</v>
      </c>
      <c r="N187" s="65" t="str">
        <f t="shared" si="55"/>
        <v>بی‌حساب</v>
      </c>
    </row>
    <row r="188" spans="2:14" ht="17.25" customHeight="1">
      <c r="F188" s="61" t="s">
        <v>2</v>
      </c>
      <c r="G188" s="66">
        <f t="shared" ref="G188:M188" si="56">SUM(G6:G187)</f>
        <v>406</v>
      </c>
      <c r="H188" s="66">
        <f t="shared" si="56"/>
        <v>406</v>
      </c>
      <c r="I188" s="66">
        <f t="shared" si="56"/>
        <v>68</v>
      </c>
      <c r="J188" s="66">
        <f t="shared" si="56"/>
        <v>68</v>
      </c>
      <c r="K188" s="66">
        <f t="shared" si="56"/>
        <v>338</v>
      </c>
      <c r="L188" s="66">
        <f t="shared" si="56"/>
        <v>338</v>
      </c>
      <c r="M188" s="66">
        <f t="shared" si="56"/>
        <v>0</v>
      </c>
    </row>
    <row r="189" spans="2:14" ht="17.25" customHeight="1">
      <c r="G189" s="52"/>
      <c r="H189" s="52"/>
      <c r="I189" s="52"/>
      <c r="J189" s="52"/>
    </row>
    <row r="191" spans="2:14" ht="17.25" customHeight="1">
      <c r="G191" s="3"/>
      <c r="H191" s="3"/>
      <c r="I191" s="3"/>
      <c r="J191" s="3"/>
      <c r="K191" s="3"/>
      <c r="L191" s="3"/>
      <c r="M191" s="3"/>
      <c r="N191" s="3"/>
    </row>
  </sheetData>
  <mergeCells count="1">
    <mergeCell ref="B2:D2"/>
  </mergeCells>
  <phoneticPr fontId="3" type="noConversion"/>
  <conditionalFormatting sqref="G189:J189">
    <cfRule type="cellIs" dxfId="54" priority="61" operator="notEqual">
      <formula>0</formula>
    </cfRule>
  </conditionalFormatting>
  <conditionalFormatting sqref="N6:N47">
    <cfRule type="containsText" dxfId="53" priority="58" operator="containsText" text="بدهکار">
      <formula>NOT(ISERROR(SEARCH("بدهکار",N6)))</formula>
    </cfRule>
    <cfRule type="containsText" dxfId="52" priority="59" operator="containsText" text="بدهکار">
      <formula>NOT(ISERROR(SEARCH("بدهکار",N6)))</formula>
    </cfRule>
    <cfRule type="containsText" dxfId="51" priority="60" operator="containsText" text="&quot;بدهکار&quot;">
      <formula>NOT(ISERROR(SEARCH("""بدهکار""",N6)))</formula>
    </cfRule>
  </conditionalFormatting>
  <conditionalFormatting sqref="N49:N55 N57:N63 N65:N71 N73:N79 N81:N87 N89:N95">
    <cfRule type="containsText" dxfId="50" priority="52" operator="containsText" text="بدهکار">
      <formula>NOT(ISERROR(SEARCH("بدهکار",N49)))</formula>
    </cfRule>
    <cfRule type="containsText" dxfId="49" priority="53" operator="containsText" text="بدهکار">
      <formula>NOT(ISERROR(SEARCH("بدهکار",N49)))</formula>
    </cfRule>
    <cfRule type="containsText" dxfId="48" priority="54" operator="containsText" text="&quot;بدهکار&quot;">
      <formula>NOT(ISERROR(SEARCH("""بدهکار""",N49)))</formula>
    </cfRule>
  </conditionalFormatting>
  <conditionalFormatting sqref="N48">
    <cfRule type="containsText" dxfId="47" priority="49" operator="containsText" text="بدهکار">
      <formula>NOT(ISERROR(SEARCH("بدهکار",N48)))</formula>
    </cfRule>
    <cfRule type="containsText" dxfId="46" priority="50" operator="containsText" text="بدهکار">
      <formula>NOT(ISERROR(SEARCH("بدهکار",N48)))</formula>
    </cfRule>
    <cfRule type="containsText" dxfId="45" priority="51" operator="containsText" text="&quot;بدهکار&quot;">
      <formula>NOT(ISERROR(SEARCH("""بدهکار""",N48)))</formula>
    </cfRule>
  </conditionalFormatting>
  <conditionalFormatting sqref="N56">
    <cfRule type="containsText" dxfId="44" priority="46" operator="containsText" text="بدهکار">
      <formula>NOT(ISERROR(SEARCH("بدهکار",N56)))</formula>
    </cfRule>
    <cfRule type="containsText" dxfId="43" priority="47" operator="containsText" text="بدهکار">
      <formula>NOT(ISERROR(SEARCH("بدهکار",N56)))</formula>
    </cfRule>
    <cfRule type="containsText" dxfId="42" priority="48" operator="containsText" text="&quot;بدهکار&quot;">
      <formula>NOT(ISERROR(SEARCH("""بدهکار""",N56)))</formula>
    </cfRule>
  </conditionalFormatting>
  <conditionalFormatting sqref="N64">
    <cfRule type="containsText" dxfId="41" priority="43" operator="containsText" text="بدهکار">
      <formula>NOT(ISERROR(SEARCH("بدهکار",N64)))</formula>
    </cfRule>
    <cfRule type="containsText" dxfId="40" priority="44" operator="containsText" text="بدهکار">
      <formula>NOT(ISERROR(SEARCH("بدهکار",N64)))</formula>
    </cfRule>
    <cfRule type="containsText" dxfId="39" priority="45" operator="containsText" text="&quot;بدهکار&quot;">
      <formula>NOT(ISERROR(SEARCH("""بدهکار""",N64)))</formula>
    </cfRule>
  </conditionalFormatting>
  <conditionalFormatting sqref="N72">
    <cfRule type="containsText" dxfId="38" priority="40" operator="containsText" text="بدهکار">
      <formula>NOT(ISERROR(SEARCH("بدهکار",N72)))</formula>
    </cfRule>
    <cfRule type="containsText" dxfId="37" priority="41" operator="containsText" text="بدهکار">
      <formula>NOT(ISERROR(SEARCH("بدهکار",N72)))</formula>
    </cfRule>
    <cfRule type="containsText" dxfId="36" priority="42" operator="containsText" text="&quot;بدهکار&quot;">
      <formula>NOT(ISERROR(SEARCH("""بدهکار""",N72)))</formula>
    </cfRule>
  </conditionalFormatting>
  <conditionalFormatting sqref="N80">
    <cfRule type="containsText" dxfId="35" priority="37" operator="containsText" text="بدهکار">
      <formula>NOT(ISERROR(SEARCH("بدهکار",N80)))</formula>
    </cfRule>
    <cfRule type="containsText" dxfId="34" priority="38" operator="containsText" text="بدهکار">
      <formula>NOT(ISERROR(SEARCH("بدهکار",N80)))</formula>
    </cfRule>
    <cfRule type="containsText" dxfId="33" priority="39" operator="containsText" text="&quot;بدهکار&quot;">
      <formula>NOT(ISERROR(SEARCH("""بدهکار""",N80)))</formula>
    </cfRule>
  </conditionalFormatting>
  <conditionalFormatting sqref="N88">
    <cfRule type="containsText" dxfId="32" priority="34" operator="containsText" text="بدهکار">
      <formula>NOT(ISERROR(SEARCH("بدهکار",N88)))</formula>
    </cfRule>
    <cfRule type="containsText" dxfId="31" priority="35" operator="containsText" text="بدهکار">
      <formula>NOT(ISERROR(SEARCH("بدهکار",N88)))</formula>
    </cfRule>
    <cfRule type="containsText" dxfId="30" priority="36" operator="containsText" text="&quot;بدهکار&quot;">
      <formula>NOT(ISERROR(SEARCH("""بدهکار""",N88)))</formula>
    </cfRule>
  </conditionalFormatting>
  <conditionalFormatting sqref="N96">
    <cfRule type="containsText" dxfId="29" priority="28" operator="containsText" text="بدهکار">
      <formula>NOT(ISERROR(SEARCH("بدهکار",N96)))</formula>
    </cfRule>
    <cfRule type="containsText" dxfId="28" priority="29" operator="containsText" text="بدهکار">
      <formula>NOT(ISERROR(SEARCH("بدهکار",N96)))</formula>
    </cfRule>
    <cfRule type="containsText" dxfId="27" priority="30" operator="containsText" text="&quot;بدهکار&quot;">
      <formula>NOT(ISERROR(SEARCH("""بدهکار""",N96)))</formula>
    </cfRule>
  </conditionalFormatting>
  <conditionalFormatting sqref="N97:N138">
    <cfRule type="containsText" dxfId="26" priority="25" operator="containsText" text="بدهکار">
      <formula>NOT(ISERROR(SEARCH("بدهکار",N97)))</formula>
    </cfRule>
    <cfRule type="containsText" dxfId="25" priority="26" operator="containsText" text="بدهکار">
      <formula>NOT(ISERROR(SEARCH("بدهکار",N97)))</formula>
    </cfRule>
    <cfRule type="containsText" dxfId="24" priority="27" operator="containsText" text="&quot;بدهکار&quot;">
      <formula>NOT(ISERROR(SEARCH("""بدهکار""",N97)))</formula>
    </cfRule>
  </conditionalFormatting>
  <conditionalFormatting sqref="N140:N146 N148:N154 N156:N162 N164:N170 N172:N178 N180:N186">
    <cfRule type="containsText" dxfId="23" priority="22" operator="containsText" text="بدهکار">
      <formula>NOT(ISERROR(SEARCH("بدهکار",N140)))</formula>
    </cfRule>
    <cfRule type="containsText" dxfId="22" priority="23" operator="containsText" text="بدهکار">
      <formula>NOT(ISERROR(SEARCH("بدهکار",N140)))</formula>
    </cfRule>
    <cfRule type="containsText" dxfId="21" priority="24" operator="containsText" text="&quot;بدهکار&quot;">
      <formula>NOT(ISERROR(SEARCH("""بدهکار""",N140)))</formula>
    </cfRule>
  </conditionalFormatting>
  <conditionalFormatting sqref="N139">
    <cfRule type="containsText" dxfId="20" priority="19" operator="containsText" text="بدهکار">
      <formula>NOT(ISERROR(SEARCH("بدهکار",N139)))</formula>
    </cfRule>
    <cfRule type="containsText" dxfId="19" priority="20" operator="containsText" text="بدهکار">
      <formula>NOT(ISERROR(SEARCH("بدهکار",N139)))</formula>
    </cfRule>
    <cfRule type="containsText" dxfId="18" priority="21" operator="containsText" text="&quot;بدهکار&quot;">
      <formula>NOT(ISERROR(SEARCH("""بدهکار""",N139)))</formula>
    </cfRule>
  </conditionalFormatting>
  <conditionalFormatting sqref="N147">
    <cfRule type="containsText" dxfId="17" priority="16" operator="containsText" text="بدهکار">
      <formula>NOT(ISERROR(SEARCH("بدهکار",N147)))</formula>
    </cfRule>
    <cfRule type="containsText" dxfId="16" priority="17" operator="containsText" text="بدهکار">
      <formula>NOT(ISERROR(SEARCH("بدهکار",N147)))</formula>
    </cfRule>
    <cfRule type="containsText" dxfId="15" priority="18" operator="containsText" text="&quot;بدهکار&quot;">
      <formula>NOT(ISERROR(SEARCH("""بدهکار""",N147)))</formula>
    </cfRule>
  </conditionalFormatting>
  <conditionalFormatting sqref="N155">
    <cfRule type="containsText" dxfId="14" priority="13" operator="containsText" text="بدهکار">
      <formula>NOT(ISERROR(SEARCH("بدهکار",N155)))</formula>
    </cfRule>
    <cfRule type="containsText" dxfId="13" priority="14" operator="containsText" text="بدهکار">
      <formula>NOT(ISERROR(SEARCH("بدهکار",N155)))</formula>
    </cfRule>
    <cfRule type="containsText" dxfId="12" priority="15" operator="containsText" text="&quot;بدهکار&quot;">
      <formula>NOT(ISERROR(SEARCH("""بدهکار""",N155)))</formula>
    </cfRule>
  </conditionalFormatting>
  <conditionalFormatting sqref="N163">
    <cfRule type="containsText" dxfId="11" priority="10" operator="containsText" text="بدهکار">
      <formula>NOT(ISERROR(SEARCH("بدهکار",N163)))</formula>
    </cfRule>
    <cfRule type="containsText" dxfId="10" priority="11" operator="containsText" text="بدهکار">
      <formula>NOT(ISERROR(SEARCH("بدهکار",N163)))</formula>
    </cfRule>
    <cfRule type="containsText" dxfId="9" priority="12" operator="containsText" text="&quot;بدهکار&quot;">
      <formula>NOT(ISERROR(SEARCH("""بدهکار""",N163)))</formula>
    </cfRule>
  </conditionalFormatting>
  <conditionalFormatting sqref="N171">
    <cfRule type="containsText" dxfId="8" priority="7" operator="containsText" text="بدهکار">
      <formula>NOT(ISERROR(SEARCH("بدهکار",N171)))</formula>
    </cfRule>
    <cfRule type="containsText" dxfId="7" priority="8" operator="containsText" text="بدهکار">
      <formula>NOT(ISERROR(SEARCH("بدهکار",N171)))</formula>
    </cfRule>
    <cfRule type="containsText" dxfId="6" priority="9" operator="containsText" text="&quot;بدهکار&quot;">
      <formula>NOT(ISERROR(SEARCH("""بدهکار""",N171)))</formula>
    </cfRule>
  </conditionalFormatting>
  <conditionalFormatting sqref="N179">
    <cfRule type="containsText" dxfId="5" priority="4" operator="containsText" text="بدهکار">
      <formula>NOT(ISERROR(SEARCH("بدهکار",N179)))</formula>
    </cfRule>
    <cfRule type="containsText" dxfId="4" priority="5" operator="containsText" text="بدهکار">
      <formula>NOT(ISERROR(SEARCH("بدهکار",N179)))</formula>
    </cfRule>
    <cfRule type="containsText" dxfId="3" priority="6" operator="containsText" text="&quot;بدهکار&quot;">
      <formula>NOT(ISERROR(SEARCH("""بدهکار""",N179)))</formula>
    </cfRule>
  </conditionalFormatting>
  <conditionalFormatting sqref="N187">
    <cfRule type="containsText" dxfId="2" priority="1" operator="containsText" text="بدهکار">
      <formula>NOT(ISERROR(SEARCH("بدهکار",N187)))</formula>
    </cfRule>
    <cfRule type="containsText" dxfId="1" priority="2" operator="containsText" text="بدهکار">
      <formula>NOT(ISERROR(SEARCH("بدهکار",N187)))</formula>
    </cfRule>
    <cfRule type="containsText" dxfId="0" priority="3" operator="containsText" text="&quot;بدهکار&quot;">
      <formula>NOT(ISERROR(SEARCH("""بدهکار""",N187)))</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3C8B-4A77-4BBA-8E86-92586AB28F3E}">
  <dimension ref="B3:O171"/>
  <sheetViews>
    <sheetView rightToLeft="1" topLeftCell="A58" zoomScale="120" zoomScaleNormal="120" workbookViewId="0">
      <selection activeCell="K73" sqref="K73"/>
    </sheetView>
  </sheetViews>
  <sheetFormatPr defaultRowHeight="15.75"/>
  <cols>
    <col min="1" max="1" width="9.140625" style="1"/>
    <col min="2" max="2" width="5.5703125" style="1" bestFit="1" customWidth="1"/>
    <col min="3" max="3" width="12.140625" style="1" bestFit="1" customWidth="1"/>
    <col min="4" max="4" width="13.85546875" style="1" bestFit="1" customWidth="1"/>
    <col min="5" max="5" width="10" style="1" bestFit="1" customWidth="1"/>
    <col min="6" max="7" width="14.28515625" style="1" bestFit="1" customWidth="1"/>
    <col min="8" max="8" width="9.140625" style="1"/>
    <col min="9" max="9" width="5.5703125" style="1" bestFit="1" customWidth="1"/>
    <col min="10" max="10" width="10.140625" style="1" bestFit="1" customWidth="1"/>
    <col min="11" max="11" width="13.85546875" style="1" bestFit="1" customWidth="1"/>
    <col min="12" max="12" width="10" style="1" bestFit="1" customWidth="1"/>
    <col min="13" max="13" width="14.28515625" style="1" bestFit="1" customWidth="1"/>
    <col min="14" max="16384" width="9.140625" style="1"/>
  </cols>
  <sheetData>
    <row r="3" spans="2:14" s="131" customFormat="1" ht="31.5">
      <c r="B3" s="130" t="s">
        <v>51</v>
      </c>
      <c r="C3" s="130" t="s">
        <v>17</v>
      </c>
      <c r="D3" s="130" t="s">
        <v>10</v>
      </c>
      <c r="E3" s="130" t="s">
        <v>65</v>
      </c>
      <c r="F3" s="130" t="s">
        <v>21</v>
      </c>
      <c r="G3" s="130" t="s">
        <v>22</v>
      </c>
      <c r="I3" s="130" t="s">
        <v>51</v>
      </c>
      <c r="J3" s="130" t="s">
        <v>17</v>
      </c>
      <c r="K3" s="130" t="s">
        <v>10</v>
      </c>
      <c r="L3" s="130" t="s">
        <v>65</v>
      </c>
      <c r="M3" s="130" t="s">
        <v>21</v>
      </c>
      <c r="N3" s="130" t="s">
        <v>22</v>
      </c>
    </row>
    <row r="4" spans="2:14">
      <c r="B4" s="147" t="s">
        <v>38</v>
      </c>
      <c r="C4" s="14" t="s">
        <v>148</v>
      </c>
      <c r="D4" s="15" t="s">
        <v>66</v>
      </c>
      <c r="E4" s="16" t="s">
        <v>6</v>
      </c>
      <c r="F4" s="17">
        <f>SUMIFS('ریز گزارش ارزی'!$AC$8:$AC$9818,'ریز گزارش ارزی'!$AC$8:$AC$9818,"&gt;0",'ریز گزارش ارزی'!$AF$8:$AF$9818,"1",'ریز گزارش ارزی'!$H$8:$H$9818,B4,'ریز گزارش ارزی'!$F$8:$F$9818,C4,'ریز گزارش ارزی'!$G$8:$G$9818,E4)</f>
        <v>13</v>
      </c>
      <c r="G4" s="17">
        <f>SUMIFS('ریز گزارش ارزی'!$AD$8:$AD$9818,'ریز گزارش ارزی'!$AD$8:$AD$9818,"&gt;0",'ریز گزارش ارزی'!$AF$8:$AF$9818,"2",'ریز گزارش ارزی'!$H$8:$H$9818,B4,'ریز گزارش ارزی'!$F$8:$F$9818,C4,'ریز گزارش ارزی'!$G$8:$G$9818,E4)</f>
        <v>13</v>
      </c>
      <c r="I4" s="147" t="s">
        <v>38</v>
      </c>
      <c r="J4" s="14" t="s">
        <v>148</v>
      </c>
      <c r="K4" s="15" t="s">
        <v>44</v>
      </c>
      <c r="L4" s="16" t="s">
        <v>6</v>
      </c>
      <c r="M4" s="17">
        <f>SUMIFS('ریز گزارش ارزی'!$L$8:$L$9818,'ریز گزارش ارزی'!$L$8:$L$9818,"&gt;0",'ریز گزارش ارزی'!$H$8:$H$9818,I4,'ریز گزارش ارزی'!$F$8:$F$9818,J4,'ریز گزارش ارزی'!$G$8:$G$9818,L4)</f>
        <v>0</v>
      </c>
      <c r="N4" s="17"/>
    </row>
    <row r="5" spans="2:14">
      <c r="B5" s="147" t="s">
        <v>38</v>
      </c>
      <c r="C5" s="14" t="s">
        <v>148</v>
      </c>
      <c r="D5" s="15" t="s">
        <v>66</v>
      </c>
      <c r="E5" s="16" t="s">
        <v>0</v>
      </c>
      <c r="F5" s="17">
        <f>SUMIFS('ریز گزارش ارزی'!$AC$8:$AC$9818,'ریز گزارش ارزی'!$AC$8:$AC$9818,"&gt;0",'ریز گزارش ارزی'!$AF$8:$AF$9818,"1",'ریز گزارش ارزی'!$H$8:$H$9818,B5,'ریز گزارش ارزی'!$F$8:$F$9818,C5,'ریز گزارش ارزی'!$G$8:$G$9818,E5)</f>
        <v>453.27</v>
      </c>
      <c r="G5" s="17">
        <f>SUMIFS('ریز گزارش ارزی'!$AD$8:$AD$9818,'ریز گزارش ارزی'!$AD$8:$AD$9818,"&gt;0",'ریز گزارش ارزی'!$AF$8:$AF$9818,"2",'ریز گزارش ارزی'!$H$8:$H$9818,B5,'ریز گزارش ارزی'!$F$8:$F$9818,C5,'ریز گزارش ارزی'!$G$8:$G$9818,E5)</f>
        <v>18</v>
      </c>
      <c r="I5" s="147" t="s">
        <v>38</v>
      </c>
      <c r="J5" s="14" t="s">
        <v>148</v>
      </c>
      <c r="K5" s="15" t="s">
        <v>44</v>
      </c>
      <c r="L5" s="16" t="s">
        <v>0</v>
      </c>
      <c r="M5" s="17">
        <f>SUMIFS('ریز گزارش ارزی'!$L$8:$L$9818,'ریز گزارش ارزی'!$L$8:$L$9818,"&gt;0",'ریز گزارش ارزی'!$H$8:$H$9818,I5,'ریز گزارش ارزی'!$F$8:$F$9818,J5,'ریز گزارش ارزی'!$G$8:$G$9818,L5)</f>
        <v>521</v>
      </c>
      <c r="N5" s="17"/>
    </row>
    <row r="6" spans="2:14">
      <c r="B6" s="147" t="s">
        <v>38</v>
      </c>
      <c r="C6" s="14" t="s">
        <v>148</v>
      </c>
      <c r="D6" s="15" t="s">
        <v>66</v>
      </c>
      <c r="E6" s="16" t="s">
        <v>1</v>
      </c>
      <c r="F6" s="17">
        <f>SUMIFS('ریز گزارش ارزی'!$AC$8:$AC$9818,'ریز گزارش ارزی'!$AC$8:$AC$9818,"&gt;0",'ریز گزارش ارزی'!$AF$8:$AF$9818,"1",'ریز گزارش ارزی'!$H$8:$H$9818,B6,'ریز گزارش ارزی'!$F$8:$F$9818,C6,'ریز گزارش ارزی'!$G$8:$G$9818,E6)</f>
        <v>0</v>
      </c>
      <c r="G6" s="17">
        <f>SUMIFS('ریز گزارش ارزی'!$AD$8:$AD$9818,'ریز گزارش ارزی'!$AD$8:$AD$9818,"&gt;0",'ریز گزارش ارزی'!$AF$8:$AF$9818,"2",'ریز گزارش ارزی'!$H$8:$H$9818,B6,'ریز گزارش ارزی'!$F$8:$F$9818,C6,'ریز گزارش ارزی'!$G$8:$G$9818,E6)</f>
        <v>0</v>
      </c>
      <c r="I6" s="147" t="s">
        <v>38</v>
      </c>
      <c r="J6" s="14" t="s">
        <v>148</v>
      </c>
      <c r="K6" s="15" t="s">
        <v>44</v>
      </c>
      <c r="L6" s="16" t="s">
        <v>1</v>
      </c>
      <c r="M6" s="17">
        <f>SUMIFS('ریز گزارش ارزی'!$L$8:$L$9818,'ریز گزارش ارزی'!$L$8:$L$9818,"&gt;0",'ریز گزارش ارزی'!$H$8:$H$9818,I6,'ریز گزارش ارزی'!$F$8:$F$9818,J6,'ریز گزارش ارزی'!$G$8:$G$9818,L6)</f>
        <v>0</v>
      </c>
      <c r="N6" s="17"/>
    </row>
    <row r="7" spans="2:14">
      <c r="B7" s="147" t="s">
        <v>38</v>
      </c>
      <c r="C7" s="14" t="s">
        <v>148</v>
      </c>
      <c r="D7" s="15" t="s">
        <v>66</v>
      </c>
      <c r="E7" s="16" t="s">
        <v>3</v>
      </c>
      <c r="F7" s="17">
        <f>SUMIFS('ریز گزارش ارزی'!$AC$8:$AC$9818,'ریز گزارش ارزی'!$AC$8:$AC$9818,"&gt;0",'ریز گزارش ارزی'!$AF$8:$AF$9818,"1",'ریز گزارش ارزی'!$H$8:$H$9818,B7,'ریز گزارش ارزی'!$F$8:$F$9818,C7,'ریز گزارش ارزی'!$G$8:$G$9818,E7)</f>
        <v>0</v>
      </c>
      <c r="G7" s="17">
        <f>SUMIFS('ریز گزارش ارزی'!$AD$8:$AD$9818,'ریز گزارش ارزی'!$AD$8:$AD$9818,"&gt;0",'ریز گزارش ارزی'!$AF$8:$AF$9818,"2",'ریز گزارش ارزی'!$H$8:$H$9818,B7,'ریز گزارش ارزی'!$F$8:$F$9818,C7,'ریز گزارش ارزی'!$G$8:$G$9818,E7)</f>
        <v>0</v>
      </c>
      <c r="I7" s="147" t="s">
        <v>38</v>
      </c>
      <c r="J7" s="14" t="s">
        <v>148</v>
      </c>
      <c r="K7" s="15" t="s">
        <v>44</v>
      </c>
      <c r="L7" s="16" t="s">
        <v>3</v>
      </c>
      <c r="M7" s="17">
        <f>SUMIFS('ریز گزارش ارزی'!$L$8:$L$9818,'ریز گزارش ارزی'!$L$8:$L$9818,"&gt;0",'ریز گزارش ارزی'!$H$8:$H$9818,I7,'ریز گزارش ارزی'!$F$8:$F$9818,J7,'ریز گزارش ارزی'!$G$8:$G$9818,L7)</f>
        <v>0</v>
      </c>
      <c r="N7" s="17"/>
    </row>
    <row r="8" spans="2:14">
      <c r="B8" s="147" t="s">
        <v>38</v>
      </c>
      <c r="C8" s="14" t="s">
        <v>148</v>
      </c>
      <c r="D8" s="15" t="s">
        <v>66</v>
      </c>
      <c r="E8" s="16" t="s">
        <v>9</v>
      </c>
      <c r="F8" s="17">
        <f>SUMIFS('ریز گزارش ارزی'!$AC$8:$AC$9818,'ریز گزارش ارزی'!$AC$8:$AC$9818,"&gt;0",'ریز گزارش ارزی'!$AF$8:$AF$9818,"1",'ریز گزارش ارزی'!$H$8:$H$9818,B8,'ریز گزارش ارزی'!$F$8:$F$9818,C8,'ریز گزارش ارزی'!$G$8:$G$9818,E8)</f>
        <v>0</v>
      </c>
      <c r="G8" s="17">
        <f>SUMIFS('ریز گزارش ارزی'!$AD$8:$AD$9818,'ریز گزارش ارزی'!$AD$8:$AD$9818,"&gt;0",'ریز گزارش ارزی'!$AF$8:$AF$9818,"2",'ریز گزارش ارزی'!$H$8:$H$9818,B8,'ریز گزارش ارزی'!$F$8:$F$9818,C8,'ریز گزارش ارزی'!$G$8:$G$9818,E8)</f>
        <v>0</v>
      </c>
      <c r="I8" s="147" t="s">
        <v>38</v>
      </c>
      <c r="J8" s="14" t="s">
        <v>148</v>
      </c>
      <c r="K8" s="15" t="s">
        <v>44</v>
      </c>
      <c r="L8" s="16" t="s">
        <v>9</v>
      </c>
      <c r="M8" s="17">
        <f>SUMIFS('ریز گزارش ارزی'!$L$8:$L$9818,'ریز گزارش ارزی'!$L$8:$L$9818,"&gt;0",'ریز گزارش ارزی'!$H$8:$H$9818,I8,'ریز گزارش ارزی'!$F$8:$F$9818,J8,'ریز گزارش ارزی'!$G$8:$G$9818,L8)</f>
        <v>0</v>
      </c>
      <c r="N8" s="17"/>
    </row>
    <row r="9" spans="2:14">
      <c r="B9" s="147" t="s">
        <v>38</v>
      </c>
      <c r="C9" s="14" t="s">
        <v>148</v>
      </c>
      <c r="D9" s="15" t="s">
        <v>66</v>
      </c>
      <c r="E9" s="16" t="s">
        <v>14</v>
      </c>
      <c r="F9" s="17">
        <f>SUMIFS('ریز گزارش ارزی'!$AC$8:$AC$9818,'ریز گزارش ارزی'!$AC$8:$AC$9818,"&gt;0",'ریز گزارش ارزی'!$AF$8:$AF$9818,"1",'ریز گزارش ارزی'!$H$8:$H$9818,B9,'ریز گزارش ارزی'!$F$8:$F$9818,C9,'ریز گزارش ارزی'!$G$8:$G$9818,E9)</f>
        <v>600</v>
      </c>
      <c r="G9" s="17">
        <f>SUMIFS('ریز گزارش ارزی'!$AD$8:$AD$9818,'ریز گزارش ارزی'!$AD$8:$AD$9818,"&gt;0",'ریز گزارش ارزی'!$AF$8:$AF$9818,"2",'ریز گزارش ارزی'!$H$8:$H$9818,B9,'ریز گزارش ارزی'!$F$8:$F$9818,C9,'ریز گزارش ارزی'!$G$8:$G$9818,E9)</f>
        <v>23</v>
      </c>
      <c r="I9" s="147" t="s">
        <v>38</v>
      </c>
      <c r="J9" s="14" t="s">
        <v>148</v>
      </c>
      <c r="K9" s="15" t="s">
        <v>44</v>
      </c>
      <c r="L9" s="16" t="s">
        <v>14</v>
      </c>
      <c r="M9" s="17">
        <f>SUMIFS('ریز گزارش ارزی'!$L$8:$L$9818,'ریز گزارش ارزی'!$L$8:$L$9818,"&gt;0",'ریز گزارش ارزی'!$H$8:$H$9818,I9,'ریز گزارش ارزی'!$F$8:$F$9818,J9,'ریز گزارش ارزی'!$G$8:$G$9818,L9)</f>
        <v>600</v>
      </c>
      <c r="N9" s="17"/>
    </row>
    <row r="10" spans="2:14">
      <c r="B10" s="147" t="s">
        <v>38</v>
      </c>
      <c r="C10" s="14" t="s">
        <v>148</v>
      </c>
      <c r="D10" s="15" t="s">
        <v>66</v>
      </c>
      <c r="E10" s="16" t="s">
        <v>5</v>
      </c>
      <c r="F10" s="17">
        <f>SUMIFS('ریز گزارش ارزی'!$AC$8:$AC$9818,'ریز گزارش ارزی'!$AC$8:$AC$9818,"&gt;0",'ریز گزارش ارزی'!$AF$8:$AF$9818,"1",'ریز گزارش ارزی'!$H$8:$H$9818,B10,'ریز گزارش ارزی'!$F$8:$F$9818,C10,'ریز گزارش ارزی'!$G$8:$G$9818,E10)</f>
        <v>0</v>
      </c>
      <c r="G10" s="17">
        <f>SUMIFS('ریز گزارش ارزی'!$AD$8:$AD$9818,'ریز گزارش ارزی'!$AD$8:$AD$9818,"&gt;0",'ریز گزارش ارزی'!$AF$8:$AF$9818,"2",'ریز گزارش ارزی'!$H$8:$H$9818,B10,'ریز گزارش ارزی'!$F$8:$F$9818,C10,'ریز گزارش ارزی'!$G$8:$G$9818,E10)</f>
        <v>0</v>
      </c>
      <c r="I10" s="147" t="s">
        <v>38</v>
      </c>
      <c r="J10" s="14" t="s">
        <v>148</v>
      </c>
      <c r="K10" s="15" t="s">
        <v>44</v>
      </c>
      <c r="L10" s="16" t="s">
        <v>5</v>
      </c>
      <c r="M10" s="17">
        <f>SUMIFS('ریز گزارش ارزی'!$L$8:$L$9818,'ریز گزارش ارزی'!$L$8:$L$9818,"&gt;0",'ریز گزارش ارزی'!$H$8:$H$9818,I10,'ریز گزارش ارزی'!$F$8:$F$9818,J10,'ریز گزارش ارزی'!$G$8:$G$9818,L10)</f>
        <v>0</v>
      </c>
      <c r="N10" s="17"/>
    </row>
    <row r="11" spans="2:14">
      <c r="B11" s="18" t="s">
        <v>37</v>
      </c>
      <c r="C11" s="14" t="s">
        <v>148</v>
      </c>
      <c r="D11" s="19" t="s">
        <v>66</v>
      </c>
      <c r="E11" s="148" t="s">
        <v>6</v>
      </c>
      <c r="F11" s="21">
        <f>SUMIFS('ریز گزارش ارزی'!$AC$8:$AC$9818,'ریز گزارش ارزی'!$AC$8:$AC$9818,"&gt;0",'ریز گزارش ارزی'!$AF$8:$AF$9818,"1",'ریز گزارش ارزی'!$H$8:$H$9818,B11,'ریز گزارش ارزی'!$F$8:$F$9818,C11,'ریز گزارش ارزی'!$G$8:$G$9818,E11)</f>
        <v>0</v>
      </c>
      <c r="G11" s="21">
        <f>SUMIFS('ریز گزارش ارزی'!$AD$8:$AD$9818,'ریز گزارش ارزی'!$AD$8:$AD$9818,"&gt;0",'ریز گزارش ارزی'!$AF$8:$AF$9818,"2",'ریز گزارش ارزی'!$H$8:$H$9818,B11,'ریز گزارش ارزی'!$F$8:$F$9818,C11,'ریز گزارش ارزی'!$G$8:$G$9818,E11)</f>
        <v>72</v>
      </c>
      <c r="I11" s="18" t="s">
        <v>37</v>
      </c>
      <c r="J11" s="14" t="s">
        <v>148</v>
      </c>
      <c r="K11" s="19" t="s">
        <v>44</v>
      </c>
      <c r="L11" s="148" t="s">
        <v>6</v>
      </c>
      <c r="M11" s="21">
        <f>SUMIFS('ریز گزارش ارزی'!$L$8:$L$9818,'ریز گزارش ارزی'!$L$8:$L$9818,"&gt;0",'ریز گزارش ارزی'!$H$8:$H$9818,I11,'ریز گزارش ارزی'!$F$8:$F$9818,J11,'ریز گزارش ارزی'!$G$8:$G$9818,L11)</f>
        <v>0</v>
      </c>
      <c r="N11" s="21"/>
    </row>
    <row r="12" spans="2:14">
      <c r="B12" s="18" t="s">
        <v>37</v>
      </c>
      <c r="C12" s="14" t="s">
        <v>148</v>
      </c>
      <c r="D12" s="19" t="s">
        <v>66</v>
      </c>
      <c r="E12" s="148" t="s">
        <v>0</v>
      </c>
      <c r="F12" s="21">
        <f>SUMIFS('ریز گزارش ارزی'!$AC$8:$AC$9818,'ریز گزارش ارزی'!$AC$8:$AC$9818,"&gt;0",'ریز گزارش ارزی'!$AF$8:$AF$9818,"1",'ریز گزارش ارزی'!$H$8:$H$9818,B12,'ریز گزارش ارزی'!$F$8:$F$9818,C12,'ریز گزارش ارزی'!$G$8:$G$9818,E12)</f>
        <v>765.6</v>
      </c>
      <c r="G12" s="21">
        <f>SUMIFS('ریز گزارش ارزی'!$AD$8:$AD$9818,'ریز گزارش ارزی'!$AD$8:$AD$9818,"&gt;0",'ریز گزارش ارزی'!$AF$8:$AF$9818,"2",'ریز گزارش ارزی'!$H$8:$H$9818,B12,'ریز گزارش ارزی'!$F$8:$F$9818,C12,'ریز گزارش ارزی'!$G$8:$G$9818,E12)</f>
        <v>301</v>
      </c>
      <c r="I12" s="18" t="s">
        <v>37</v>
      </c>
      <c r="J12" s="14" t="s">
        <v>148</v>
      </c>
      <c r="K12" s="19" t="s">
        <v>44</v>
      </c>
      <c r="L12" s="148" t="s">
        <v>0</v>
      </c>
      <c r="M12" s="21">
        <f>SUMIFS('ریز گزارش ارزی'!$L$8:$L$9818,'ریز گزارش ارزی'!$L$8:$L$9818,"&gt;0",'ریز گزارش ارزی'!$H$8:$H$9818,I12,'ریز گزارش ارزی'!$F$8:$F$9818,J12,'ریز گزارش ارزی'!$G$8:$G$9818,L12)</f>
        <v>870</v>
      </c>
      <c r="N12" s="21"/>
    </row>
    <row r="13" spans="2:14">
      <c r="B13" s="18" t="s">
        <v>37</v>
      </c>
      <c r="C13" s="14" t="s">
        <v>148</v>
      </c>
      <c r="D13" s="19" t="s">
        <v>66</v>
      </c>
      <c r="E13" s="148" t="s">
        <v>1</v>
      </c>
      <c r="F13" s="21">
        <f>SUMIFS('ریز گزارش ارزی'!$AC$8:$AC$9818,'ریز گزارش ارزی'!$AC$8:$AC$9818,"&gt;0",'ریز گزارش ارزی'!$AF$8:$AF$9818,"1",'ریز گزارش ارزی'!$H$8:$H$9818,B13,'ریز گزارش ارزی'!$F$8:$F$9818,C13,'ریز گزارش ارزی'!$G$8:$G$9818,E13)</f>
        <v>0</v>
      </c>
      <c r="G13" s="21">
        <f>SUMIFS('ریز گزارش ارزی'!$AD$8:$AD$9818,'ریز گزارش ارزی'!$AD$8:$AD$9818,"&gt;0",'ریز گزارش ارزی'!$AF$8:$AF$9818,"2",'ریز گزارش ارزی'!$H$8:$H$9818,B13,'ریز گزارش ارزی'!$F$8:$F$9818,C13,'ریز گزارش ارزی'!$G$8:$G$9818,E13)</f>
        <v>0</v>
      </c>
      <c r="I13" s="18" t="s">
        <v>37</v>
      </c>
      <c r="J13" s="14" t="s">
        <v>148</v>
      </c>
      <c r="K13" s="19" t="s">
        <v>44</v>
      </c>
      <c r="L13" s="148" t="s">
        <v>1</v>
      </c>
      <c r="M13" s="21">
        <f>SUMIFS('ریز گزارش ارزی'!$L$8:$L$9818,'ریز گزارش ارزی'!$L$8:$L$9818,"&gt;0",'ریز گزارش ارزی'!$H$8:$H$9818,I13,'ریز گزارش ارزی'!$F$8:$F$9818,J13,'ریز گزارش ارزی'!$G$8:$G$9818,L13)</f>
        <v>0</v>
      </c>
      <c r="N13" s="21"/>
    </row>
    <row r="14" spans="2:14">
      <c r="B14" s="18" t="s">
        <v>37</v>
      </c>
      <c r="C14" s="14" t="s">
        <v>148</v>
      </c>
      <c r="D14" s="19" t="s">
        <v>66</v>
      </c>
      <c r="E14" s="148" t="s">
        <v>3</v>
      </c>
      <c r="F14" s="21">
        <f>SUMIFS('ریز گزارش ارزی'!$AC$8:$AC$9818,'ریز گزارش ارزی'!$AC$8:$AC$9818,"&gt;0",'ریز گزارش ارزی'!$AF$8:$AF$9818,"1",'ریز گزارش ارزی'!$H$8:$H$9818,B14,'ریز گزارش ارزی'!$F$8:$F$9818,C14,'ریز گزارش ارزی'!$G$8:$G$9818,E14)</f>
        <v>0</v>
      </c>
      <c r="G14" s="21">
        <f>SUMIFS('ریز گزارش ارزی'!$AD$8:$AD$9818,'ریز گزارش ارزی'!$AD$8:$AD$9818,"&gt;0",'ریز گزارش ارزی'!$AF$8:$AF$9818,"2",'ریز گزارش ارزی'!$H$8:$H$9818,B14,'ریز گزارش ارزی'!$F$8:$F$9818,C14,'ریز گزارش ارزی'!$G$8:$G$9818,E14)</f>
        <v>0</v>
      </c>
      <c r="I14" s="18" t="s">
        <v>37</v>
      </c>
      <c r="J14" s="14" t="s">
        <v>148</v>
      </c>
      <c r="K14" s="19" t="s">
        <v>44</v>
      </c>
      <c r="L14" s="148" t="s">
        <v>3</v>
      </c>
      <c r="M14" s="21">
        <f>SUMIFS('ریز گزارش ارزی'!$L$8:$L$9818,'ریز گزارش ارزی'!$L$8:$L$9818,"&gt;0",'ریز گزارش ارزی'!$H$8:$H$9818,I14,'ریز گزارش ارزی'!$F$8:$F$9818,J14,'ریز گزارش ارزی'!$G$8:$G$9818,L14)</f>
        <v>0</v>
      </c>
      <c r="N14" s="21"/>
    </row>
    <row r="15" spans="2:14">
      <c r="B15" s="18" t="s">
        <v>37</v>
      </c>
      <c r="C15" s="14" t="s">
        <v>148</v>
      </c>
      <c r="D15" s="19" t="s">
        <v>66</v>
      </c>
      <c r="E15" s="148" t="s">
        <v>9</v>
      </c>
      <c r="F15" s="21">
        <f>SUMIFS('ریز گزارش ارزی'!$AC$8:$AC$9818,'ریز گزارش ارزی'!$AC$8:$AC$9818,"&gt;0",'ریز گزارش ارزی'!$AF$8:$AF$9818,"1",'ریز گزارش ارزی'!$H$8:$H$9818,B15,'ریز گزارش ارزی'!$F$8:$F$9818,C15,'ریز گزارش ارزی'!$G$8:$G$9818,E15)</f>
        <v>272.2</v>
      </c>
      <c r="G15" s="21">
        <f>SUMIFS('ریز گزارش ارزی'!$AD$8:$AD$9818,'ریز گزارش ارزی'!$AD$8:$AD$9818,"&gt;0",'ریز گزارش ارزی'!$AF$8:$AF$9818,"2",'ریز گزارش ارزی'!$H$8:$H$9818,B15,'ریز گزارش ارزی'!$F$8:$F$9818,C15,'ریز گزارش ارزی'!$G$8:$G$9818,E15)</f>
        <v>74</v>
      </c>
      <c r="I15" s="18" t="s">
        <v>37</v>
      </c>
      <c r="J15" s="14" t="s">
        <v>148</v>
      </c>
      <c r="K15" s="19" t="s">
        <v>44</v>
      </c>
      <c r="L15" s="148" t="s">
        <v>9</v>
      </c>
      <c r="M15" s="21">
        <f>SUMIFS('ریز گزارش ارزی'!$L$8:$L$9818,'ریز گزارش ارزی'!$L$8:$L$9818,"&gt;0",'ریز گزارش ارزی'!$H$8:$H$9818,I15,'ریز گزارش ارزی'!$F$8:$F$9818,J15,'ریز گزارش ارزی'!$G$8:$G$9818,L15)</f>
        <v>290</v>
      </c>
      <c r="N15" s="21"/>
    </row>
    <row r="16" spans="2:14">
      <c r="B16" s="18" t="s">
        <v>37</v>
      </c>
      <c r="C16" s="14" t="s">
        <v>148</v>
      </c>
      <c r="D16" s="19" t="s">
        <v>66</v>
      </c>
      <c r="E16" s="148" t="s">
        <v>14</v>
      </c>
      <c r="F16" s="21">
        <f>SUMIFS('ریز گزارش ارزی'!$AC$8:$AC$9818,'ریز گزارش ارزی'!$AC$8:$AC$9818,"&gt;0",'ریز گزارش ارزی'!$AF$8:$AF$9818,"1",'ریز گزارش ارزی'!$H$8:$H$9818,B16,'ریز گزارش ارزی'!$F$8:$F$9818,C16,'ریز گزارش ارزی'!$G$8:$G$9818,E16)</f>
        <v>335.20000000000005</v>
      </c>
      <c r="G16" s="21">
        <f>SUMIFS('ریز گزارش ارزی'!$AD$8:$AD$9818,'ریز گزارش ارزی'!$AD$8:$AD$9818,"&gt;0",'ریز گزارش ارزی'!$AF$8:$AF$9818,"2",'ریز گزارش ارزی'!$H$8:$H$9818,B16,'ریز گزارش ارزی'!$F$8:$F$9818,C16,'ریز گزارش ارزی'!$G$8:$G$9818,E16)</f>
        <v>0</v>
      </c>
      <c r="I16" s="18" t="s">
        <v>37</v>
      </c>
      <c r="J16" s="14" t="s">
        <v>148</v>
      </c>
      <c r="K16" s="19" t="s">
        <v>44</v>
      </c>
      <c r="L16" s="148" t="s">
        <v>14</v>
      </c>
      <c r="M16" s="21">
        <f>SUMIFS('ریز گزارش ارزی'!$L$8:$L$9818,'ریز گزارش ارزی'!$L$8:$L$9818,"&gt;0",'ریز گزارش ارزی'!$H$8:$H$9818,I16,'ریز گزارش ارزی'!$F$8:$F$9818,J16,'ریز گزارش ارزی'!$G$8:$G$9818,L16)</f>
        <v>419</v>
      </c>
      <c r="N16" s="21"/>
    </row>
    <row r="17" spans="2:14">
      <c r="B17" s="18" t="s">
        <v>37</v>
      </c>
      <c r="C17" s="14" t="s">
        <v>148</v>
      </c>
      <c r="D17" s="19" t="s">
        <v>66</v>
      </c>
      <c r="E17" s="148" t="s">
        <v>5</v>
      </c>
      <c r="F17" s="21">
        <f>SUMIFS('ریز گزارش ارزی'!$AC$8:$AC$9818,'ریز گزارش ارزی'!$AC$8:$AC$9818,"&gt;0",'ریز گزارش ارزی'!$AF$8:$AF$9818,"1",'ریز گزارش ارزی'!$H$8:$H$9818,B17,'ریز گزارش ارزی'!$F$8:$F$9818,C17,'ریز گزارش ارزی'!$G$8:$G$9818,E17)</f>
        <v>0</v>
      </c>
      <c r="G17" s="21">
        <f>SUMIFS('ریز گزارش ارزی'!$AD$8:$AD$9818,'ریز گزارش ارزی'!$AD$8:$AD$9818,"&gt;0",'ریز گزارش ارزی'!$AF$8:$AF$9818,"2",'ریز گزارش ارزی'!$H$8:$H$9818,B17,'ریز گزارش ارزی'!$F$8:$F$9818,C17,'ریز گزارش ارزی'!$G$8:$G$9818,E17)</f>
        <v>0</v>
      </c>
      <c r="I17" s="18" t="s">
        <v>37</v>
      </c>
      <c r="J17" s="14" t="s">
        <v>148</v>
      </c>
      <c r="K17" s="19" t="s">
        <v>44</v>
      </c>
      <c r="L17" s="148" t="s">
        <v>5</v>
      </c>
      <c r="M17" s="21">
        <f>SUMIFS('ریز گزارش ارزی'!$L$8:$L$9818,'ریز گزارش ارزی'!$L$8:$L$9818,"&gt;0",'ریز گزارش ارزی'!$H$8:$H$9818,I17,'ریز گزارش ارزی'!$F$8:$F$9818,J17,'ریز گزارش ارزی'!$G$8:$G$9818,L17)</f>
        <v>0</v>
      </c>
      <c r="N17" s="21"/>
    </row>
    <row r="18" spans="2:14">
      <c r="B18" s="147" t="s">
        <v>157</v>
      </c>
      <c r="C18" s="14" t="s">
        <v>148</v>
      </c>
      <c r="D18" s="15" t="s">
        <v>66</v>
      </c>
      <c r="E18" s="16" t="s">
        <v>6</v>
      </c>
      <c r="F18" s="17">
        <f>SUMIFS('ریز گزارش ارزی'!$AC$8:$AC$9818,'ریز گزارش ارزی'!$AC$8:$AC$9818,"&gt;0",'ریز گزارش ارزی'!$AF$8:$AF$9818,"1",'ریز گزارش ارزی'!$H$8:$H$9818,B18,'ریز گزارش ارزی'!$F$8:$F$9818,C18,'ریز گزارش ارزی'!$G$8:$G$9818,E18)</f>
        <v>0</v>
      </c>
      <c r="G18" s="17">
        <f>SUMIFS('ریز گزارش ارزی'!$AD$8:$AD$9818,'ریز گزارش ارزی'!$AD$8:$AD$9818,"&gt;0",'ریز گزارش ارزی'!$AF$8:$AF$9818,"2",'ریز گزارش ارزی'!$H$8:$H$9818,B18,'ریز گزارش ارزی'!$F$8:$F$9818,C18,'ریز گزارش ارزی'!$G$8:$G$9818,E18)</f>
        <v>0</v>
      </c>
      <c r="I18" s="147" t="s">
        <v>157</v>
      </c>
      <c r="J18" s="14" t="s">
        <v>148</v>
      </c>
      <c r="K18" s="15" t="s">
        <v>44</v>
      </c>
      <c r="L18" s="16" t="s">
        <v>6</v>
      </c>
      <c r="M18" s="17">
        <f>SUMIFS('ریز گزارش ارزی'!$L$8:$L$9818,'ریز گزارش ارزی'!$L$8:$L$9818,"&gt;0",'ریز گزارش ارزی'!$H$8:$H$9818,I18,'ریز گزارش ارزی'!$F$8:$F$9818,J18,'ریز گزارش ارزی'!$G$8:$G$9818,L18)</f>
        <v>0</v>
      </c>
      <c r="N18" s="17"/>
    </row>
    <row r="19" spans="2:14">
      <c r="B19" s="147" t="s">
        <v>157</v>
      </c>
      <c r="C19" s="14" t="s">
        <v>148</v>
      </c>
      <c r="D19" s="15" t="s">
        <v>66</v>
      </c>
      <c r="E19" s="16" t="s">
        <v>0</v>
      </c>
      <c r="F19" s="17">
        <f>SUMIFS('ریز گزارش ارزی'!$AC$8:$AC$9818,'ریز گزارش ارزی'!$AC$8:$AC$9818,"&gt;0",'ریز گزارش ارزی'!$AF$8:$AF$9818,"1",'ریز گزارش ارزی'!$H$8:$H$9818,B19,'ریز گزارش ارزی'!$F$8:$F$9818,C19,'ریز گزارش ارزی'!$G$8:$G$9818,E19)</f>
        <v>0</v>
      </c>
      <c r="G19" s="17">
        <f>SUMIFS('ریز گزارش ارزی'!$AD$8:$AD$9818,'ریز گزارش ارزی'!$AD$8:$AD$9818,"&gt;0",'ریز گزارش ارزی'!$AF$8:$AF$9818,"2",'ریز گزارش ارزی'!$H$8:$H$9818,B19,'ریز گزارش ارزی'!$F$8:$F$9818,C19,'ریز گزارش ارزی'!$G$8:$G$9818,E19)</f>
        <v>0</v>
      </c>
      <c r="I19" s="147" t="s">
        <v>157</v>
      </c>
      <c r="J19" s="14" t="s">
        <v>148</v>
      </c>
      <c r="K19" s="15" t="s">
        <v>44</v>
      </c>
      <c r="L19" s="16" t="s">
        <v>0</v>
      </c>
      <c r="M19" s="17">
        <f>SUMIFS('ریز گزارش ارزی'!$L$8:$L$9818,'ریز گزارش ارزی'!$L$8:$L$9818,"&gt;0",'ریز گزارش ارزی'!$H$8:$H$9818,I19,'ریز گزارش ارزی'!$F$8:$F$9818,J19,'ریز گزارش ارزی'!$G$8:$G$9818,L19)</f>
        <v>0</v>
      </c>
      <c r="N19" s="17"/>
    </row>
    <row r="20" spans="2:14">
      <c r="B20" s="147" t="s">
        <v>157</v>
      </c>
      <c r="C20" s="14" t="s">
        <v>148</v>
      </c>
      <c r="D20" s="15" t="s">
        <v>66</v>
      </c>
      <c r="E20" s="16" t="s">
        <v>1</v>
      </c>
      <c r="F20" s="17">
        <f>SUMIFS('ریز گزارش ارزی'!$AC$8:$AC$9818,'ریز گزارش ارزی'!$AC$8:$AC$9818,"&gt;0",'ریز گزارش ارزی'!$AF$8:$AF$9818,"1",'ریز گزارش ارزی'!$H$8:$H$9818,B20,'ریز گزارش ارزی'!$F$8:$F$9818,C20,'ریز گزارش ارزی'!$G$8:$G$9818,E20)</f>
        <v>0</v>
      </c>
      <c r="G20" s="17">
        <f>SUMIFS('ریز گزارش ارزی'!$AD$8:$AD$9818,'ریز گزارش ارزی'!$AD$8:$AD$9818,"&gt;0",'ریز گزارش ارزی'!$AF$8:$AF$9818,"2",'ریز گزارش ارزی'!$H$8:$H$9818,B20,'ریز گزارش ارزی'!$F$8:$F$9818,C20,'ریز گزارش ارزی'!$G$8:$G$9818,E20)</f>
        <v>0</v>
      </c>
      <c r="I20" s="147" t="s">
        <v>157</v>
      </c>
      <c r="J20" s="14" t="s">
        <v>148</v>
      </c>
      <c r="K20" s="15" t="s">
        <v>44</v>
      </c>
      <c r="L20" s="16" t="s">
        <v>1</v>
      </c>
      <c r="M20" s="17">
        <f>SUMIFS('ریز گزارش ارزی'!$L$8:$L$9818,'ریز گزارش ارزی'!$L$8:$L$9818,"&gt;0",'ریز گزارش ارزی'!$H$8:$H$9818,I20,'ریز گزارش ارزی'!$F$8:$F$9818,J20,'ریز گزارش ارزی'!$G$8:$G$9818,L20)</f>
        <v>0</v>
      </c>
      <c r="N20" s="17"/>
    </row>
    <row r="21" spans="2:14">
      <c r="B21" s="147" t="s">
        <v>157</v>
      </c>
      <c r="C21" s="14" t="s">
        <v>148</v>
      </c>
      <c r="D21" s="15" t="s">
        <v>66</v>
      </c>
      <c r="E21" s="16" t="s">
        <v>3</v>
      </c>
      <c r="F21" s="17">
        <f>SUMIFS('ریز گزارش ارزی'!$AC$8:$AC$9818,'ریز گزارش ارزی'!$AC$8:$AC$9818,"&gt;0",'ریز گزارش ارزی'!$AF$8:$AF$9818,"1",'ریز گزارش ارزی'!$H$8:$H$9818,B21,'ریز گزارش ارزی'!$F$8:$F$9818,C21,'ریز گزارش ارزی'!$G$8:$G$9818,E21)</f>
        <v>0</v>
      </c>
      <c r="G21" s="17">
        <f>SUMIFS('ریز گزارش ارزی'!$AD$8:$AD$9818,'ریز گزارش ارزی'!$AD$8:$AD$9818,"&gt;0",'ریز گزارش ارزی'!$AF$8:$AF$9818,"2",'ریز گزارش ارزی'!$H$8:$H$9818,B21,'ریز گزارش ارزی'!$F$8:$F$9818,C21,'ریز گزارش ارزی'!$G$8:$G$9818,E21)</f>
        <v>0</v>
      </c>
      <c r="I21" s="147" t="s">
        <v>157</v>
      </c>
      <c r="J21" s="14" t="s">
        <v>148</v>
      </c>
      <c r="K21" s="15" t="s">
        <v>44</v>
      </c>
      <c r="L21" s="16" t="s">
        <v>3</v>
      </c>
      <c r="M21" s="17">
        <f>SUMIFS('ریز گزارش ارزی'!$L$8:$L$9818,'ریز گزارش ارزی'!$L$8:$L$9818,"&gt;0",'ریز گزارش ارزی'!$H$8:$H$9818,I21,'ریز گزارش ارزی'!$F$8:$F$9818,J21,'ریز گزارش ارزی'!$G$8:$G$9818,L21)</f>
        <v>0</v>
      </c>
      <c r="N21" s="17"/>
    </row>
    <row r="22" spans="2:14">
      <c r="B22" s="147" t="s">
        <v>157</v>
      </c>
      <c r="C22" s="14" t="s">
        <v>148</v>
      </c>
      <c r="D22" s="15" t="s">
        <v>66</v>
      </c>
      <c r="E22" s="16" t="s">
        <v>9</v>
      </c>
      <c r="F22" s="17">
        <f>SUMIFS('ریز گزارش ارزی'!$AC$8:$AC$9818,'ریز گزارش ارزی'!$AC$8:$AC$9818,"&gt;0",'ریز گزارش ارزی'!$AF$8:$AF$9818,"1",'ریز گزارش ارزی'!$H$8:$H$9818,B22,'ریز گزارش ارزی'!$F$8:$F$9818,C22,'ریز گزارش ارزی'!$G$8:$G$9818,E22)</f>
        <v>0</v>
      </c>
      <c r="G22" s="17">
        <f>SUMIFS('ریز گزارش ارزی'!$AD$8:$AD$9818,'ریز گزارش ارزی'!$AD$8:$AD$9818,"&gt;0",'ریز گزارش ارزی'!$AF$8:$AF$9818,"2",'ریز گزارش ارزی'!$H$8:$H$9818,B22,'ریز گزارش ارزی'!$F$8:$F$9818,C22,'ریز گزارش ارزی'!$G$8:$G$9818,E22)</f>
        <v>0</v>
      </c>
      <c r="I22" s="147" t="s">
        <v>157</v>
      </c>
      <c r="J22" s="14" t="s">
        <v>148</v>
      </c>
      <c r="K22" s="15" t="s">
        <v>44</v>
      </c>
      <c r="L22" s="16" t="s">
        <v>9</v>
      </c>
      <c r="M22" s="17">
        <f>SUMIFS('ریز گزارش ارزی'!$L$8:$L$9818,'ریز گزارش ارزی'!$L$8:$L$9818,"&gt;0",'ریز گزارش ارزی'!$H$8:$H$9818,I22,'ریز گزارش ارزی'!$F$8:$F$9818,J22,'ریز گزارش ارزی'!$G$8:$G$9818,L22)</f>
        <v>0</v>
      </c>
      <c r="N22" s="17"/>
    </row>
    <row r="23" spans="2:14">
      <c r="B23" s="147" t="s">
        <v>157</v>
      </c>
      <c r="C23" s="14" t="s">
        <v>148</v>
      </c>
      <c r="D23" s="15" t="s">
        <v>66</v>
      </c>
      <c r="E23" s="16" t="s">
        <v>14</v>
      </c>
      <c r="F23" s="17">
        <f>SUMIFS('ریز گزارش ارزی'!$AC$8:$AC$9818,'ریز گزارش ارزی'!$AC$8:$AC$9818,"&gt;0",'ریز گزارش ارزی'!$AF$8:$AF$9818,"1",'ریز گزارش ارزی'!$H$8:$H$9818,B23,'ریز گزارش ارزی'!$F$8:$F$9818,C23,'ریز گزارش ارزی'!$G$8:$G$9818,E23)</f>
        <v>0</v>
      </c>
      <c r="G23" s="17">
        <f>SUMIFS('ریز گزارش ارزی'!$AD$8:$AD$9818,'ریز گزارش ارزی'!$AD$8:$AD$9818,"&gt;0",'ریز گزارش ارزی'!$AF$8:$AF$9818,"2",'ریز گزارش ارزی'!$H$8:$H$9818,B23,'ریز گزارش ارزی'!$F$8:$F$9818,C23,'ریز گزارش ارزی'!$G$8:$G$9818,E23)</f>
        <v>0</v>
      </c>
      <c r="I23" s="147" t="s">
        <v>157</v>
      </c>
      <c r="J23" s="14" t="s">
        <v>148</v>
      </c>
      <c r="K23" s="15" t="s">
        <v>44</v>
      </c>
      <c r="L23" s="16" t="s">
        <v>14</v>
      </c>
      <c r="M23" s="17">
        <f>SUMIFS('ریز گزارش ارزی'!$L$8:$L$9818,'ریز گزارش ارزی'!$L$8:$L$9818,"&gt;0",'ریز گزارش ارزی'!$H$8:$H$9818,I23,'ریز گزارش ارزی'!$F$8:$F$9818,J23,'ریز گزارش ارزی'!$G$8:$G$9818,L23)</f>
        <v>0</v>
      </c>
      <c r="N23" s="17"/>
    </row>
    <row r="24" spans="2:14">
      <c r="B24" s="147" t="s">
        <v>157</v>
      </c>
      <c r="C24" s="14" t="s">
        <v>148</v>
      </c>
      <c r="D24" s="15" t="s">
        <v>66</v>
      </c>
      <c r="E24" s="16" t="s">
        <v>5</v>
      </c>
      <c r="F24" s="17">
        <f>SUMIFS('ریز گزارش ارزی'!$AC$8:$AC$9818,'ریز گزارش ارزی'!$AC$8:$AC$9818,"&gt;0",'ریز گزارش ارزی'!$AF$8:$AF$9818,"1",'ریز گزارش ارزی'!$H$8:$H$9818,B24,'ریز گزارش ارزی'!$F$8:$F$9818,C24,'ریز گزارش ارزی'!$G$8:$G$9818,E24)</f>
        <v>0</v>
      </c>
      <c r="G24" s="17">
        <f>SUMIFS('ریز گزارش ارزی'!$AD$8:$AD$9818,'ریز گزارش ارزی'!$AD$8:$AD$9818,"&gt;0",'ریز گزارش ارزی'!$AF$8:$AF$9818,"2",'ریز گزارش ارزی'!$H$8:$H$9818,B24,'ریز گزارش ارزی'!$F$8:$F$9818,C24,'ریز گزارش ارزی'!$G$8:$G$9818,E24)</f>
        <v>0</v>
      </c>
      <c r="I24" s="147" t="s">
        <v>157</v>
      </c>
      <c r="J24" s="14" t="s">
        <v>148</v>
      </c>
      <c r="K24" s="15" t="s">
        <v>44</v>
      </c>
      <c r="L24" s="16" t="s">
        <v>5</v>
      </c>
      <c r="M24" s="17">
        <f>SUMIFS('ریز گزارش ارزی'!$L$8:$L$9818,'ریز گزارش ارزی'!$L$8:$L$9818,"&gt;0",'ریز گزارش ارزی'!$H$8:$H$9818,I24,'ریز گزارش ارزی'!$F$8:$F$9818,J24,'ریز گزارش ارزی'!$G$8:$G$9818,L24)</f>
        <v>0</v>
      </c>
      <c r="N24" s="17"/>
    </row>
    <row r="25" spans="2:14">
      <c r="B25" s="150" t="s">
        <v>158</v>
      </c>
      <c r="C25" s="14" t="s">
        <v>148</v>
      </c>
      <c r="D25" s="19" t="s">
        <v>66</v>
      </c>
      <c r="E25" s="148" t="s">
        <v>6</v>
      </c>
      <c r="F25" s="21">
        <f>SUMIFS('ریز گزارش ارزی'!$AC$8:$AC$9818,'ریز گزارش ارزی'!$AC$8:$AC$9818,"&gt;0",'ریز گزارش ارزی'!$AF$8:$AF$9818,"1",'ریز گزارش ارزی'!$H$8:$H$9818,B25,'ریز گزارش ارزی'!$F$8:$F$9818,C25,'ریز گزارش ارزی'!$G$8:$G$9818,E25)</f>
        <v>0</v>
      </c>
      <c r="G25" s="21">
        <f>SUMIFS('ریز گزارش ارزی'!$AD$8:$AD$9818,'ریز گزارش ارزی'!$AD$8:$AD$9818,"&gt;0",'ریز گزارش ارزی'!$AF$8:$AF$9818,"2",'ریز گزارش ارزی'!$H$8:$H$9818,B25,'ریز گزارش ارزی'!$F$8:$F$9818,C25,'ریز گزارش ارزی'!$G$8:$G$9818,E25)</f>
        <v>0</v>
      </c>
      <c r="I25" s="150" t="s">
        <v>158</v>
      </c>
      <c r="J25" s="14" t="s">
        <v>148</v>
      </c>
      <c r="K25" s="19" t="s">
        <v>44</v>
      </c>
      <c r="L25" s="148" t="s">
        <v>6</v>
      </c>
      <c r="M25" s="21">
        <f>SUMIFS('ریز گزارش ارزی'!$L$8:$L$9818,'ریز گزارش ارزی'!$L$8:$L$9818,"&gt;0",'ریز گزارش ارزی'!$H$8:$H$9818,I25,'ریز گزارش ارزی'!$F$8:$F$9818,J25,'ریز گزارش ارزی'!$G$8:$G$9818,L25)</f>
        <v>0</v>
      </c>
      <c r="N25" s="21"/>
    </row>
    <row r="26" spans="2:14">
      <c r="B26" s="150" t="s">
        <v>158</v>
      </c>
      <c r="C26" s="14" t="s">
        <v>148</v>
      </c>
      <c r="D26" s="19" t="s">
        <v>66</v>
      </c>
      <c r="E26" s="148" t="s">
        <v>0</v>
      </c>
      <c r="F26" s="21">
        <f>SUMIFS('ریز گزارش ارزی'!$AC$8:$AC$9818,'ریز گزارش ارزی'!$AC$8:$AC$9818,"&gt;0",'ریز گزارش ارزی'!$AF$8:$AF$9818,"1",'ریز گزارش ارزی'!$H$8:$H$9818,B26,'ریز گزارش ارزی'!$F$8:$F$9818,C26,'ریز گزارش ارزی'!$G$8:$G$9818,E26)</f>
        <v>0</v>
      </c>
      <c r="G26" s="21">
        <f>SUMIFS('ریز گزارش ارزی'!$AD$8:$AD$9818,'ریز گزارش ارزی'!$AD$8:$AD$9818,"&gt;0",'ریز گزارش ارزی'!$AF$8:$AF$9818,"2",'ریز گزارش ارزی'!$H$8:$H$9818,B26,'ریز گزارش ارزی'!$F$8:$F$9818,C26,'ریز گزارش ارزی'!$G$8:$G$9818,E26)</f>
        <v>0</v>
      </c>
      <c r="I26" s="150" t="s">
        <v>158</v>
      </c>
      <c r="J26" s="14" t="s">
        <v>148</v>
      </c>
      <c r="K26" s="19" t="s">
        <v>44</v>
      </c>
      <c r="L26" s="148" t="s">
        <v>0</v>
      </c>
      <c r="M26" s="21">
        <f>SUMIFS('ریز گزارش ارزی'!$L$8:$L$9818,'ریز گزارش ارزی'!$L$8:$L$9818,"&gt;0",'ریز گزارش ارزی'!$H$8:$H$9818,I26,'ریز گزارش ارزی'!$F$8:$F$9818,J26,'ریز گزارش ارزی'!$G$8:$G$9818,L26)</f>
        <v>0</v>
      </c>
      <c r="N26" s="21"/>
    </row>
    <row r="27" spans="2:14">
      <c r="B27" s="150" t="s">
        <v>158</v>
      </c>
      <c r="C27" s="14" t="s">
        <v>148</v>
      </c>
      <c r="D27" s="19" t="s">
        <v>66</v>
      </c>
      <c r="E27" s="148" t="s">
        <v>1</v>
      </c>
      <c r="F27" s="21">
        <f>SUMIFS('ریز گزارش ارزی'!$AC$8:$AC$9818,'ریز گزارش ارزی'!$AC$8:$AC$9818,"&gt;0",'ریز گزارش ارزی'!$AF$8:$AF$9818,"1",'ریز گزارش ارزی'!$H$8:$H$9818,B27,'ریز گزارش ارزی'!$F$8:$F$9818,C27,'ریز گزارش ارزی'!$G$8:$G$9818,E27)</f>
        <v>0</v>
      </c>
      <c r="G27" s="21">
        <f>SUMIFS('ریز گزارش ارزی'!$AD$8:$AD$9818,'ریز گزارش ارزی'!$AD$8:$AD$9818,"&gt;0",'ریز گزارش ارزی'!$AF$8:$AF$9818,"2",'ریز گزارش ارزی'!$H$8:$H$9818,B27,'ریز گزارش ارزی'!$F$8:$F$9818,C27,'ریز گزارش ارزی'!$G$8:$G$9818,E27)</f>
        <v>0</v>
      </c>
      <c r="I27" s="150" t="s">
        <v>158</v>
      </c>
      <c r="J27" s="14" t="s">
        <v>148</v>
      </c>
      <c r="K27" s="19" t="s">
        <v>44</v>
      </c>
      <c r="L27" s="148" t="s">
        <v>1</v>
      </c>
      <c r="M27" s="21">
        <f>SUMIFS('ریز گزارش ارزی'!$L$8:$L$9818,'ریز گزارش ارزی'!$L$8:$L$9818,"&gt;0",'ریز گزارش ارزی'!$H$8:$H$9818,I27,'ریز گزارش ارزی'!$F$8:$F$9818,J27,'ریز گزارش ارزی'!$G$8:$G$9818,L27)</f>
        <v>0</v>
      </c>
      <c r="N27" s="21"/>
    </row>
    <row r="28" spans="2:14">
      <c r="B28" s="150" t="s">
        <v>158</v>
      </c>
      <c r="C28" s="14" t="s">
        <v>148</v>
      </c>
      <c r="D28" s="19" t="s">
        <v>66</v>
      </c>
      <c r="E28" s="148" t="s">
        <v>3</v>
      </c>
      <c r="F28" s="21">
        <f>SUMIFS('ریز گزارش ارزی'!$AC$8:$AC$9818,'ریز گزارش ارزی'!$AC$8:$AC$9818,"&gt;0",'ریز گزارش ارزی'!$AF$8:$AF$9818,"1",'ریز گزارش ارزی'!$H$8:$H$9818,B28,'ریز گزارش ارزی'!$F$8:$F$9818,C28,'ریز گزارش ارزی'!$G$8:$G$9818,E28)</f>
        <v>0</v>
      </c>
      <c r="G28" s="21">
        <f>SUMIFS('ریز گزارش ارزی'!$AD$8:$AD$9818,'ریز گزارش ارزی'!$AD$8:$AD$9818,"&gt;0",'ریز گزارش ارزی'!$AF$8:$AF$9818,"2",'ریز گزارش ارزی'!$H$8:$H$9818,B28,'ریز گزارش ارزی'!$F$8:$F$9818,C28,'ریز گزارش ارزی'!$G$8:$G$9818,E28)</f>
        <v>0</v>
      </c>
      <c r="I28" s="150" t="s">
        <v>158</v>
      </c>
      <c r="J28" s="14" t="s">
        <v>148</v>
      </c>
      <c r="K28" s="19" t="s">
        <v>44</v>
      </c>
      <c r="L28" s="148" t="s">
        <v>3</v>
      </c>
      <c r="M28" s="21">
        <f>SUMIFS('ریز گزارش ارزی'!$L$8:$L$9818,'ریز گزارش ارزی'!$L$8:$L$9818,"&gt;0",'ریز گزارش ارزی'!$H$8:$H$9818,I28,'ریز گزارش ارزی'!$F$8:$F$9818,J28,'ریز گزارش ارزی'!$G$8:$G$9818,L28)</f>
        <v>0</v>
      </c>
      <c r="N28" s="21"/>
    </row>
    <row r="29" spans="2:14">
      <c r="B29" s="150" t="s">
        <v>158</v>
      </c>
      <c r="C29" s="14" t="s">
        <v>148</v>
      </c>
      <c r="D29" s="19" t="s">
        <v>66</v>
      </c>
      <c r="E29" s="148" t="s">
        <v>9</v>
      </c>
      <c r="F29" s="21">
        <f>SUMIFS('ریز گزارش ارزی'!$AC$8:$AC$9818,'ریز گزارش ارزی'!$AC$8:$AC$9818,"&gt;0",'ریز گزارش ارزی'!$AF$8:$AF$9818,"1",'ریز گزارش ارزی'!$H$8:$H$9818,B29,'ریز گزارش ارزی'!$F$8:$F$9818,C29,'ریز گزارش ارزی'!$G$8:$G$9818,E29)</f>
        <v>0</v>
      </c>
      <c r="G29" s="21">
        <f>SUMIFS('ریز گزارش ارزی'!$AD$8:$AD$9818,'ریز گزارش ارزی'!$AD$8:$AD$9818,"&gt;0",'ریز گزارش ارزی'!$AF$8:$AF$9818,"2",'ریز گزارش ارزی'!$H$8:$H$9818,B29,'ریز گزارش ارزی'!$F$8:$F$9818,C29,'ریز گزارش ارزی'!$G$8:$G$9818,E29)</f>
        <v>0</v>
      </c>
      <c r="I29" s="150" t="s">
        <v>158</v>
      </c>
      <c r="J29" s="14" t="s">
        <v>148</v>
      </c>
      <c r="K29" s="19" t="s">
        <v>44</v>
      </c>
      <c r="L29" s="148" t="s">
        <v>9</v>
      </c>
      <c r="M29" s="21">
        <f>SUMIFS('ریز گزارش ارزی'!$L$8:$L$9818,'ریز گزارش ارزی'!$L$8:$L$9818,"&gt;0",'ریز گزارش ارزی'!$H$8:$H$9818,I29,'ریز گزارش ارزی'!$F$8:$F$9818,J29,'ریز گزارش ارزی'!$G$8:$G$9818,L29)</f>
        <v>0</v>
      </c>
      <c r="N29" s="21"/>
    </row>
    <row r="30" spans="2:14">
      <c r="B30" s="150" t="s">
        <v>158</v>
      </c>
      <c r="C30" s="14" t="s">
        <v>148</v>
      </c>
      <c r="D30" s="19" t="s">
        <v>66</v>
      </c>
      <c r="E30" s="148" t="s">
        <v>14</v>
      </c>
      <c r="F30" s="21">
        <f>SUMIFS('ریز گزارش ارزی'!$AC$8:$AC$9818,'ریز گزارش ارزی'!$AC$8:$AC$9818,"&gt;0",'ریز گزارش ارزی'!$AF$8:$AF$9818,"1",'ریز گزارش ارزی'!$H$8:$H$9818,B30,'ریز گزارش ارزی'!$F$8:$F$9818,C30,'ریز گزارش ارزی'!$G$8:$G$9818,E30)</f>
        <v>0</v>
      </c>
      <c r="G30" s="21">
        <f>SUMIFS('ریز گزارش ارزی'!$AD$8:$AD$9818,'ریز گزارش ارزی'!$AD$8:$AD$9818,"&gt;0",'ریز گزارش ارزی'!$AF$8:$AF$9818,"2",'ریز گزارش ارزی'!$H$8:$H$9818,B30,'ریز گزارش ارزی'!$F$8:$F$9818,C30,'ریز گزارش ارزی'!$G$8:$G$9818,E30)</f>
        <v>0</v>
      </c>
      <c r="I30" s="150" t="s">
        <v>158</v>
      </c>
      <c r="J30" s="14" t="s">
        <v>148</v>
      </c>
      <c r="K30" s="19" t="s">
        <v>44</v>
      </c>
      <c r="L30" s="148" t="s">
        <v>14</v>
      </c>
      <c r="M30" s="21">
        <f>SUMIFS('ریز گزارش ارزی'!$L$8:$L$9818,'ریز گزارش ارزی'!$L$8:$L$9818,"&gt;0",'ریز گزارش ارزی'!$H$8:$H$9818,I30,'ریز گزارش ارزی'!$F$8:$F$9818,J30,'ریز گزارش ارزی'!$G$8:$G$9818,L30)</f>
        <v>0</v>
      </c>
      <c r="N30" s="21"/>
    </row>
    <row r="31" spans="2:14">
      <c r="B31" s="150" t="s">
        <v>158</v>
      </c>
      <c r="C31" s="14" t="s">
        <v>148</v>
      </c>
      <c r="D31" s="19" t="s">
        <v>66</v>
      </c>
      <c r="E31" s="148" t="s">
        <v>5</v>
      </c>
      <c r="F31" s="21">
        <f>SUMIFS('ریز گزارش ارزی'!$AC$8:$AC$9818,'ریز گزارش ارزی'!$AC$8:$AC$9818,"&gt;0",'ریز گزارش ارزی'!$AF$8:$AF$9818,"1",'ریز گزارش ارزی'!$H$8:$H$9818,B31,'ریز گزارش ارزی'!$F$8:$F$9818,C31,'ریز گزارش ارزی'!$G$8:$G$9818,E31)</f>
        <v>0</v>
      </c>
      <c r="G31" s="21">
        <f>SUMIFS('ریز گزارش ارزی'!$AD$8:$AD$9818,'ریز گزارش ارزی'!$AD$8:$AD$9818,"&gt;0",'ریز گزارش ارزی'!$AF$8:$AF$9818,"2",'ریز گزارش ارزی'!$H$8:$H$9818,B31,'ریز گزارش ارزی'!$F$8:$F$9818,C31,'ریز گزارش ارزی'!$G$8:$G$9818,E31)</f>
        <v>0</v>
      </c>
      <c r="I31" s="150" t="s">
        <v>158</v>
      </c>
      <c r="J31" s="14" t="s">
        <v>148</v>
      </c>
      <c r="K31" s="19" t="s">
        <v>44</v>
      </c>
      <c r="L31" s="148" t="s">
        <v>5</v>
      </c>
      <c r="M31" s="21">
        <f>SUMIFS('ریز گزارش ارزی'!$L$8:$L$9818,'ریز گزارش ارزی'!$L$8:$L$9818,"&gt;0",'ریز گزارش ارزی'!$H$8:$H$9818,I31,'ریز گزارش ارزی'!$F$8:$F$9818,J31,'ریز گزارش ارزی'!$G$8:$G$9818,L31)</f>
        <v>0</v>
      </c>
      <c r="N31" s="21"/>
    </row>
    <row r="32" spans="2:14">
      <c r="B32" s="147" t="s">
        <v>38</v>
      </c>
      <c r="C32" s="14" t="s">
        <v>148</v>
      </c>
      <c r="D32" s="15" t="s">
        <v>83</v>
      </c>
      <c r="E32" s="16" t="s">
        <v>6</v>
      </c>
      <c r="F32" s="17">
        <f>SUMIFS('ریز گزارش ارزی'!$AC$8:$AC$9818,'ریز گزارش ارزی'!$AC$8:$AC$9818,"&gt;0",'ریز گزارش ارزی'!$AF$8:$AF$9818,"4",'ریز گزارش ارزی'!$H$8:$H$9818,B32,'ریز گزارش ارزی'!$F$8:$F$9818,C32,'ریز گزارش ارزی'!$G$8:$G$9818,E32)</f>
        <v>0</v>
      </c>
      <c r="G32" s="17">
        <f>SUMIFS('ریز گزارش ارزی'!$AD$8:$AD$9818,'ریز گزارش ارزی'!$AD$8:$AD$9818,"&gt;0",'ریز گزارش ارزی'!$AF$8:$AF$9818,"4",'ریز گزارش ارزی'!$H$8:$H$9818,B32,'ریز گزارش ارزی'!$F$8:$F$9818,C32,'ریز گزارش ارزی'!$G$8:$G$9818,E32)</f>
        <v>0</v>
      </c>
      <c r="I32" s="147" t="s">
        <v>38</v>
      </c>
      <c r="J32" s="18" t="s">
        <v>156</v>
      </c>
      <c r="K32" s="15" t="s">
        <v>44</v>
      </c>
      <c r="L32" s="16" t="s">
        <v>6</v>
      </c>
      <c r="M32" s="17">
        <f>SUMIFS('ریز گزارش ارزی'!$L$8:$L$9818,'ریز گزارش ارزی'!$L$8:$L$9818,"&gt;0",'ریز گزارش ارزی'!$H$8:$H$9818,I32,'ریز گزارش ارزی'!$F$8:$F$9818,J32,'ریز گزارش ارزی'!$G$8:$G$9818,L32)</f>
        <v>0</v>
      </c>
      <c r="N32" s="17"/>
    </row>
    <row r="33" spans="2:14">
      <c r="B33" s="147" t="s">
        <v>38</v>
      </c>
      <c r="C33" s="14" t="s">
        <v>148</v>
      </c>
      <c r="D33" s="15" t="s">
        <v>83</v>
      </c>
      <c r="E33" s="16" t="s">
        <v>0</v>
      </c>
      <c r="F33" s="17">
        <f>SUMIFS('ریز گزارش ارزی'!$AC$8:$AC$9818,'ریز گزارش ارزی'!$AC$8:$AC$9818,"&gt;0",'ریز گزارش ارزی'!$AF$8:$AF$9818,"4",'ریز گزارش ارزی'!$H$8:$H$9818,B33,'ریز گزارش ارزی'!$F$8:$F$9818,C33,'ریز گزارش ارزی'!$G$8:$G$9818,E33)</f>
        <v>0</v>
      </c>
      <c r="G33" s="17">
        <f>SUMIFS('ریز گزارش ارزی'!$AD$8:$AD$9818,'ریز گزارش ارزی'!$AD$8:$AD$9818,"&gt;0",'ریز گزارش ارزی'!$AF$8:$AF$9818,"4",'ریز گزارش ارزی'!$H$8:$H$9818,B33,'ریز گزارش ارزی'!$F$8:$F$9818,C33,'ریز گزارش ارزی'!$G$8:$G$9818,E33)</f>
        <v>0</v>
      </c>
      <c r="I33" s="147" t="s">
        <v>38</v>
      </c>
      <c r="J33" s="18" t="s">
        <v>156</v>
      </c>
      <c r="K33" s="15" t="s">
        <v>44</v>
      </c>
      <c r="L33" s="16" t="s">
        <v>0</v>
      </c>
      <c r="M33" s="17">
        <f>SUMIFS('ریز گزارش ارزی'!$L$8:$L$9818,'ریز گزارش ارزی'!$L$8:$L$9818,"&gt;0",'ریز گزارش ارزی'!$H$8:$H$9818,I33,'ریز گزارش ارزی'!$F$8:$F$9818,J33,'ریز گزارش ارزی'!$G$8:$G$9818,L33)</f>
        <v>0</v>
      </c>
      <c r="N33" s="17"/>
    </row>
    <row r="34" spans="2:14">
      <c r="B34" s="147" t="s">
        <v>38</v>
      </c>
      <c r="C34" s="14" t="s">
        <v>148</v>
      </c>
      <c r="D34" s="15" t="s">
        <v>83</v>
      </c>
      <c r="E34" s="16" t="s">
        <v>1</v>
      </c>
      <c r="F34" s="17">
        <f>SUMIFS('ریز گزارش ارزی'!$AC$8:$AC$9818,'ریز گزارش ارزی'!$AC$8:$AC$9818,"&gt;0",'ریز گزارش ارزی'!$AF$8:$AF$9818,"4",'ریز گزارش ارزی'!$H$8:$H$9818,B34,'ریز گزارش ارزی'!$F$8:$F$9818,C34,'ریز گزارش ارزی'!$G$8:$G$9818,E34)</f>
        <v>0</v>
      </c>
      <c r="G34" s="17">
        <f>SUMIFS('ریز گزارش ارزی'!$AD$8:$AD$9818,'ریز گزارش ارزی'!$AD$8:$AD$9818,"&gt;0",'ریز گزارش ارزی'!$AF$8:$AF$9818,"4",'ریز گزارش ارزی'!$H$8:$H$9818,B34,'ریز گزارش ارزی'!$F$8:$F$9818,C34,'ریز گزارش ارزی'!$G$8:$G$9818,E34)</f>
        <v>0</v>
      </c>
      <c r="I34" s="147" t="s">
        <v>38</v>
      </c>
      <c r="J34" s="18" t="s">
        <v>156</v>
      </c>
      <c r="K34" s="15" t="s">
        <v>44</v>
      </c>
      <c r="L34" s="16" t="s">
        <v>1</v>
      </c>
      <c r="M34" s="17">
        <f>SUMIFS('ریز گزارش ارزی'!$L$8:$L$9818,'ریز گزارش ارزی'!$L$8:$L$9818,"&gt;0",'ریز گزارش ارزی'!$H$8:$H$9818,I34,'ریز گزارش ارزی'!$F$8:$F$9818,J34,'ریز گزارش ارزی'!$G$8:$G$9818,L34)</f>
        <v>0</v>
      </c>
      <c r="N34" s="17"/>
    </row>
    <row r="35" spans="2:14">
      <c r="B35" s="147" t="s">
        <v>38</v>
      </c>
      <c r="C35" s="14" t="s">
        <v>148</v>
      </c>
      <c r="D35" s="15" t="s">
        <v>83</v>
      </c>
      <c r="E35" s="16" t="s">
        <v>3</v>
      </c>
      <c r="F35" s="17">
        <f>SUMIFS('ریز گزارش ارزی'!$AC$8:$AC$9818,'ریز گزارش ارزی'!$AC$8:$AC$9818,"&gt;0",'ریز گزارش ارزی'!$AF$8:$AF$9818,"4",'ریز گزارش ارزی'!$H$8:$H$9818,B35,'ریز گزارش ارزی'!$F$8:$F$9818,C35,'ریز گزارش ارزی'!$G$8:$G$9818,E35)</f>
        <v>0</v>
      </c>
      <c r="G35" s="17">
        <f>SUMIFS('ریز گزارش ارزی'!$AD$8:$AD$9818,'ریز گزارش ارزی'!$AD$8:$AD$9818,"&gt;0",'ریز گزارش ارزی'!$AF$8:$AF$9818,"4",'ریز گزارش ارزی'!$H$8:$H$9818,B35,'ریز گزارش ارزی'!$F$8:$F$9818,C35,'ریز گزارش ارزی'!$G$8:$G$9818,E35)</f>
        <v>0</v>
      </c>
      <c r="I35" s="147" t="s">
        <v>38</v>
      </c>
      <c r="J35" s="18" t="s">
        <v>156</v>
      </c>
      <c r="K35" s="15" t="s">
        <v>44</v>
      </c>
      <c r="L35" s="16" t="s">
        <v>3</v>
      </c>
      <c r="M35" s="17">
        <f>SUMIFS('ریز گزارش ارزی'!$L$8:$L$9818,'ریز گزارش ارزی'!$L$8:$L$9818,"&gt;0",'ریز گزارش ارزی'!$H$8:$H$9818,I35,'ریز گزارش ارزی'!$F$8:$F$9818,J35,'ریز گزارش ارزی'!$G$8:$G$9818,L35)</f>
        <v>0</v>
      </c>
      <c r="N35" s="17"/>
    </row>
    <row r="36" spans="2:14">
      <c r="B36" s="147" t="s">
        <v>38</v>
      </c>
      <c r="C36" s="14" t="s">
        <v>148</v>
      </c>
      <c r="D36" s="15" t="s">
        <v>83</v>
      </c>
      <c r="E36" s="16" t="s">
        <v>9</v>
      </c>
      <c r="F36" s="17">
        <f>SUMIFS('ریز گزارش ارزی'!$AC$8:$AC$9818,'ریز گزارش ارزی'!$AC$8:$AC$9818,"&gt;0",'ریز گزارش ارزی'!$AF$8:$AF$9818,"4",'ریز گزارش ارزی'!$H$8:$H$9818,B36,'ریز گزارش ارزی'!$F$8:$F$9818,C36,'ریز گزارش ارزی'!$G$8:$G$9818,E36)</f>
        <v>0</v>
      </c>
      <c r="G36" s="17">
        <f>SUMIFS('ریز گزارش ارزی'!$AD$8:$AD$9818,'ریز گزارش ارزی'!$AD$8:$AD$9818,"&gt;0",'ریز گزارش ارزی'!$AF$8:$AF$9818,"4",'ریز گزارش ارزی'!$H$8:$H$9818,B36,'ریز گزارش ارزی'!$F$8:$F$9818,C36,'ریز گزارش ارزی'!$G$8:$G$9818,E36)</f>
        <v>0</v>
      </c>
      <c r="I36" s="147" t="s">
        <v>38</v>
      </c>
      <c r="J36" s="18" t="s">
        <v>156</v>
      </c>
      <c r="K36" s="15" t="s">
        <v>44</v>
      </c>
      <c r="L36" s="16" t="s">
        <v>9</v>
      </c>
      <c r="M36" s="17">
        <f>SUMIFS('ریز گزارش ارزی'!$L$8:$L$9818,'ریز گزارش ارزی'!$L$8:$L$9818,"&gt;0",'ریز گزارش ارزی'!$H$8:$H$9818,I36,'ریز گزارش ارزی'!$F$8:$F$9818,J36,'ریز گزارش ارزی'!$G$8:$G$9818,L36)</f>
        <v>0</v>
      </c>
      <c r="N36" s="17"/>
    </row>
    <row r="37" spans="2:14">
      <c r="B37" s="147" t="s">
        <v>38</v>
      </c>
      <c r="C37" s="14" t="s">
        <v>148</v>
      </c>
      <c r="D37" s="15" t="s">
        <v>83</v>
      </c>
      <c r="E37" s="16" t="s">
        <v>14</v>
      </c>
      <c r="F37" s="17">
        <f>SUMIFS('ریز گزارش ارزی'!$AC$8:$AC$9818,'ریز گزارش ارزی'!$AC$8:$AC$9818,"&gt;0",'ریز گزارش ارزی'!$AF$8:$AF$9818,"4",'ریز گزارش ارزی'!$H$8:$H$9818,B37,'ریز گزارش ارزی'!$F$8:$F$9818,C37,'ریز گزارش ارزی'!$G$8:$G$9818,E37)</f>
        <v>0</v>
      </c>
      <c r="G37" s="17">
        <f>SUMIFS('ریز گزارش ارزی'!$AD$8:$AD$9818,'ریز گزارش ارزی'!$AD$8:$AD$9818,"&gt;0",'ریز گزارش ارزی'!$AF$8:$AF$9818,"4",'ریز گزارش ارزی'!$H$8:$H$9818,B37,'ریز گزارش ارزی'!$F$8:$F$9818,C37,'ریز گزارش ارزی'!$G$8:$G$9818,E37)</f>
        <v>0</v>
      </c>
      <c r="I37" s="147" t="s">
        <v>38</v>
      </c>
      <c r="J37" s="18" t="s">
        <v>156</v>
      </c>
      <c r="K37" s="15" t="s">
        <v>44</v>
      </c>
      <c r="L37" s="16" t="s">
        <v>14</v>
      </c>
      <c r="M37" s="17">
        <f>SUMIFS('ریز گزارش ارزی'!$L$8:$L$9818,'ریز گزارش ارزی'!$L$8:$L$9818,"&gt;0",'ریز گزارش ارزی'!$H$8:$H$9818,I37,'ریز گزارش ارزی'!$F$8:$F$9818,J37,'ریز گزارش ارزی'!$G$8:$G$9818,L37)</f>
        <v>0</v>
      </c>
      <c r="N37" s="17"/>
    </row>
    <row r="38" spans="2:14">
      <c r="B38" s="147" t="s">
        <v>38</v>
      </c>
      <c r="C38" s="14" t="s">
        <v>148</v>
      </c>
      <c r="D38" s="15" t="s">
        <v>83</v>
      </c>
      <c r="E38" s="16" t="s">
        <v>5</v>
      </c>
      <c r="F38" s="17">
        <f>SUMIFS('ریز گزارش ارزی'!$AC$8:$AC$9818,'ریز گزارش ارزی'!$AC$8:$AC$9818,"&gt;0",'ریز گزارش ارزی'!$AF$8:$AF$9818,"4",'ریز گزارش ارزی'!$H$8:$H$9818,B38,'ریز گزارش ارزی'!$F$8:$F$9818,C38,'ریز گزارش ارزی'!$G$8:$G$9818,E38)</f>
        <v>0</v>
      </c>
      <c r="G38" s="17">
        <f>SUMIFS('ریز گزارش ارزی'!$AD$8:$AD$9818,'ریز گزارش ارزی'!$AD$8:$AD$9818,"&gt;0",'ریز گزارش ارزی'!$AF$8:$AF$9818,"4",'ریز گزارش ارزی'!$H$8:$H$9818,B38,'ریز گزارش ارزی'!$F$8:$F$9818,C38,'ریز گزارش ارزی'!$G$8:$G$9818,E38)</f>
        <v>0</v>
      </c>
      <c r="I38" s="147" t="s">
        <v>38</v>
      </c>
      <c r="J38" s="18" t="s">
        <v>156</v>
      </c>
      <c r="K38" s="15" t="s">
        <v>44</v>
      </c>
      <c r="L38" s="16" t="s">
        <v>5</v>
      </c>
      <c r="M38" s="17">
        <f>SUMIFS('ریز گزارش ارزی'!$L$8:$L$9818,'ریز گزارش ارزی'!$L$8:$L$9818,"&gt;0",'ریز گزارش ارزی'!$H$8:$H$9818,I38,'ریز گزارش ارزی'!$F$8:$F$9818,J38,'ریز گزارش ارزی'!$G$8:$G$9818,L38)</f>
        <v>0</v>
      </c>
      <c r="N38" s="17"/>
    </row>
    <row r="39" spans="2:14">
      <c r="B39" s="18" t="s">
        <v>37</v>
      </c>
      <c r="C39" s="14" t="s">
        <v>148</v>
      </c>
      <c r="D39" s="19" t="s">
        <v>83</v>
      </c>
      <c r="E39" s="148" t="s">
        <v>6</v>
      </c>
      <c r="F39" s="21">
        <f>SUMIFS('ریز گزارش ارزی'!$AC$8:$AC$9818,'ریز گزارش ارزی'!$AC$8:$AC$9818,"&gt;0",'ریز گزارش ارزی'!$AF$8:$AF$9818,"4",'ریز گزارش ارزی'!$H$8:$H$9818,B39,'ریز گزارش ارزی'!$F$8:$F$9818,C39,'ریز گزارش ارزی'!$G$8:$G$9818,E39)</f>
        <v>87</v>
      </c>
      <c r="G39" s="21">
        <f>SUMIFS('ریز گزارش ارزی'!$AD$8:$AD$9818,'ریز گزارش ارزی'!$AD$8:$AD$9818,"&gt;0",'ریز گزارش ارزی'!$AF$8:$AF$9818,"4",'ریز گزارش ارزی'!$H$8:$H$9818,B39,'ریز گزارش ارزی'!$F$8:$F$9818,C39,'ریز گزارش ارزی'!$G$8:$G$9818,E39)</f>
        <v>14</v>
      </c>
      <c r="I39" s="18" t="s">
        <v>37</v>
      </c>
      <c r="J39" s="18" t="s">
        <v>156</v>
      </c>
      <c r="K39" s="19" t="s">
        <v>44</v>
      </c>
      <c r="L39" s="148" t="s">
        <v>6</v>
      </c>
      <c r="M39" s="21">
        <f>SUMIFS('ریز گزارش ارزی'!$L$8:$L$9818,'ریز گزارش ارزی'!$L$8:$L$9818,"&gt;0",'ریز گزارش ارزی'!$H$8:$H$9818,I39,'ریز گزارش ارزی'!$F$8:$F$9818,J39,'ریز گزارش ارزی'!$G$8:$G$9818,L39)</f>
        <v>0</v>
      </c>
      <c r="N39" s="21"/>
    </row>
    <row r="40" spans="2:14">
      <c r="B40" s="18" t="s">
        <v>37</v>
      </c>
      <c r="C40" s="14" t="s">
        <v>148</v>
      </c>
      <c r="D40" s="19" t="s">
        <v>83</v>
      </c>
      <c r="E40" s="148" t="s">
        <v>0</v>
      </c>
      <c r="F40" s="21">
        <f>SUMIFS('ریز گزارش ارزی'!$AC$8:$AC$9818,'ریز گزارش ارزی'!$AC$8:$AC$9818,"&gt;0",'ریز گزارش ارزی'!$AF$8:$AF$9818,"4",'ریز گزارش ارزی'!$H$8:$H$9818,B40,'ریز گزارش ارزی'!$F$8:$F$9818,C40,'ریز گزارش ارزی'!$G$8:$G$9818,E40)</f>
        <v>119</v>
      </c>
      <c r="G40" s="21">
        <f>SUMIFS('ریز گزارش ارزی'!$AD$8:$AD$9818,'ریز گزارش ارزی'!$AD$8:$AD$9818,"&gt;0",'ریز گزارش ارزی'!$AF$8:$AF$9818,"4",'ریز گزارش ارزی'!$H$8:$H$9818,B40,'ریز گزارش ارزی'!$F$8:$F$9818,C40,'ریز گزارش ارزی'!$G$8:$G$9818,E40)</f>
        <v>80</v>
      </c>
      <c r="I40" s="18" t="s">
        <v>37</v>
      </c>
      <c r="J40" s="18" t="s">
        <v>156</v>
      </c>
      <c r="K40" s="19" t="s">
        <v>44</v>
      </c>
      <c r="L40" s="148" t="s">
        <v>0</v>
      </c>
      <c r="M40" s="21">
        <f>SUMIFS('ریز گزارش ارزی'!$L$8:$L$9818,'ریز گزارش ارزی'!$L$8:$L$9818,"&gt;0",'ریز گزارش ارزی'!$H$8:$H$9818,I40,'ریز گزارش ارزی'!$F$8:$F$9818,J40,'ریز گزارش ارزی'!$G$8:$G$9818,L40)</f>
        <v>530</v>
      </c>
      <c r="N40" s="21"/>
    </row>
    <row r="41" spans="2:14">
      <c r="B41" s="18" t="s">
        <v>37</v>
      </c>
      <c r="C41" s="14" t="s">
        <v>148</v>
      </c>
      <c r="D41" s="19" t="s">
        <v>83</v>
      </c>
      <c r="E41" s="148" t="s">
        <v>1</v>
      </c>
      <c r="F41" s="21">
        <f>SUMIFS('ریز گزارش ارزی'!$AC$8:$AC$9818,'ریز گزارش ارزی'!$AC$8:$AC$9818,"&gt;0",'ریز گزارش ارزی'!$AF$8:$AF$9818,"4",'ریز گزارش ارزی'!$H$8:$H$9818,B41,'ریز گزارش ارزی'!$F$8:$F$9818,C41,'ریز گزارش ارزی'!$G$8:$G$9818,E41)</f>
        <v>0</v>
      </c>
      <c r="G41" s="21">
        <f>SUMIFS('ریز گزارش ارزی'!$AD$8:$AD$9818,'ریز گزارش ارزی'!$AD$8:$AD$9818,"&gt;0",'ریز گزارش ارزی'!$AF$8:$AF$9818,"4",'ریز گزارش ارزی'!$H$8:$H$9818,B41,'ریز گزارش ارزی'!$F$8:$F$9818,C41,'ریز گزارش ارزی'!$G$8:$G$9818,E41)</f>
        <v>0</v>
      </c>
      <c r="I41" s="18" t="s">
        <v>37</v>
      </c>
      <c r="J41" s="18" t="s">
        <v>156</v>
      </c>
      <c r="K41" s="19" t="s">
        <v>44</v>
      </c>
      <c r="L41" s="148" t="s">
        <v>1</v>
      </c>
      <c r="M41" s="21">
        <f>SUMIFS('ریز گزارش ارزی'!$L$8:$L$9818,'ریز گزارش ارزی'!$L$8:$L$9818,"&gt;0",'ریز گزارش ارزی'!$H$8:$H$9818,I41,'ریز گزارش ارزی'!$F$8:$F$9818,J41,'ریز گزارش ارزی'!$G$8:$G$9818,L41)</f>
        <v>0</v>
      </c>
      <c r="N41" s="21"/>
    </row>
    <row r="42" spans="2:14">
      <c r="B42" s="18" t="s">
        <v>37</v>
      </c>
      <c r="C42" s="14" t="s">
        <v>148</v>
      </c>
      <c r="D42" s="19" t="s">
        <v>83</v>
      </c>
      <c r="E42" s="148" t="s">
        <v>3</v>
      </c>
      <c r="F42" s="21">
        <f>SUMIFS('ریز گزارش ارزی'!$AC$8:$AC$9818,'ریز گزارش ارزی'!$AC$8:$AC$9818,"&gt;0",'ریز گزارش ارزی'!$AF$8:$AF$9818,"4",'ریز گزارش ارزی'!$H$8:$H$9818,B42,'ریز گزارش ارزی'!$F$8:$F$9818,C42,'ریز گزارش ارزی'!$G$8:$G$9818,E42)</f>
        <v>0</v>
      </c>
      <c r="G42" s="21">
        <f>SUMIFS('ریز گزارش ارزی'!$AD$8:$AD$9818,'ریز گزارش ارزی'!$AD$8:$AD$9818,"&gt;0",'ریز گزارش ارزی'!$AF$8:$AF$9818,"4",'ریز گزارش ارزی'!$H$8:$H$9818,B42,'ریز گزارش ارزی'!$F$8:$F$9818,C42,'ریز گزارش ارزی'!$G$8:$G$9818,E42)</f>
        <v>0</v>
      </c>
      <c r="I42" s="18" t="s">
        <v>37</v>
      </c>
      <c r="J42" s="18" t="s">
        <v>156</v>
      </c>
      <c r="K42" s="19" t="s">
        <v>44</v>
      </c>
      <c r="L42" s="148" t="s">
        <v>3</v>
      </c>
      <c r="M42" s="21">
        <f>SUMIFS('ریز گزارش ارزی'!$L$8:$L$9818,'ریز گزارش ارزی'!$L$8:$L$9818,"&gt;0",'ریز گزارش ارزی'!$H$8:$H$9818,I42,'ریز گزارش ارزی'!$F$8:$F$9818,J42,'ریز گزارش ارزی'!$G$8:$G$9818,L42)</f>
        <v>0</v>
      </c>
      <c r="N42" s="21"/>
    </row>
    <row r="43" spans="2:14">
      <c r="B43" s="18" t="s">
        <v>37</v>
      </c>
      <c r="C43" s="14" t="s">
        <v>148</v>
      </c>
      <c r="D43" s="19" t="s">
        <v>83</v>
      </c>
      <c r="E43" s="148" t="s">
        <v>9</v>
      </c>
      <c r="F43" s="21">
        <f>SUMIFS('ریز گزارش ارزی'!$AC$8:$AC$9818,'ریز گزارش ارزی'!$AC$8:$AC$9818,"&gt;0",'ریز گزارش ارزی'!$AF$8:$AF$9818,"4",'ریز گزارش ارزی'!$H$8:$H$9818,B43,'ریز گزارش ارزی'!$F$8:$F$9818,C43,'ریز گزارش ارزی'!$G$8:$G$9818,E43)</f>
        <v>30</v>
      </c>
      <c r="G43" s="21">
        <f>SUMIFS('ریز گزارش ارزی'!$AD$8:$AD$9818,'ریز گزارش ارزی'!$AD$8:$AD$9818,"&gt;0",'ریز گزارش ارزی'!$AF$8:$AF$9818,"4",'ریز گزارش ارزی'!$H$8:$H$9818,B43,'ریز گزارش ارزی'!$F$8:$F$9818,C43,'ریز گزارش ارزی'!$G$8:$G$9818,E43)</f>
        <v>105</v>
      </c>
      <c r="I43" s="18" t="s">
        <v>37</v>
      </c>
      <c r="J43" s="18" t="s">
        <v>156</v>
      </c>
      <c r="K43" s="19" t="s">
        <v>44</v>
      </c>
      <c r="L43" s="148" t="s">
        <v>9</v>
      </c>
      <c r="M43" s="21">
        <f>SUMIFS('ریز گزارش ارزی'!$L$8:$L$9818,'ریز گزارش ارزی'!$L$8:$L$9818,"&gt;0",'ریز گزارش ارزی'!$H$8:$H$9818,I43,'ریز گزارش ارزی'!$F$8:$F$9818,J43,'ریز گزارش ارزی'!$G$8:$G$9818,L43)</f>
        <v>0</v>
      </c>
      <c r="N43" s="21"/>
    </row>
    <row r="44" spans="2:14">
      <c r="B44" s="18" t="s">
        <v>37</v>
      </c>
      <c r="C44" s="14" t="s">
        <v>148</v>
      </c>
      <c r="D44" s="19" t="s">
        <v>83</v>
      </c>
      <c r="E44" s="148" t="s">
        <v>14</v>
      </c>
      <c r="F44" s="21">
        <f>SUMIFS('ریز گزارش ارزی'!$AC$8:$AC$9818,'ریز گزارش ارزی'!$AC$8:$AC$9818,"&gt;0",'ریز گزارش ارزی'!$AF$8:$AF$9818,"4",'ریز گزارش ارزی'!$H$8:$H$9818,B44,'ریز گزارش ارزی'!$F$8:$F$9818,C44,'ریز گزارش ارزی'!$G$8:$G$9818,E44)</f>
        <v>0</v>
      </c>
      <c r="G44" s="21">
        <f>SUMIFS('ریز گزارش ارزی'!$AD$8:$AD$9818,'ریز گزارش ارزی'!$AD$8:$AD$9818,"&gt;0",'ریز گزارش ارزی'!$AF$8:$AF$9818,"4",'ریز گزارش ارزی'!$H$8:$H$9818,B44,'ریز گزارش ارزی'!$F$8:$F$9818,C44,'ریز گزارش ارزی'!$G$8:$G$9818,E44)</f>
        <v>30</v>
      </c>
      <c r="I44" s="18" t="s">
        <v>37</v>
      </c>
      <c r="J44" s="18" t="s">
        <v>156</v>
      </c>
      <c r="K44" s="19" t="s">
        <v>44</v>
      </c>
      <c r="L44" s="148" t="s">
        <v>14</v>
      </c>
      <c r="M44" s="21">
        <f>SUMIFS('ریز گزارش ارزی'!$L$8:$L$9818,'ریز گزارش ارزی'!$L$8:$L$9818,"&gt;0",'ریز گزارش ارزی'!$H$8:$H$9818,I44,'ریز گزارش ارزی'!$F$8:$F$9818,J44,'ریز گزارش ارزی'!$G$8:$G$9818,L44)</f>
        <v>0</v>
      </c>
      <c r="N44" s="21"/>
    </row>
    <row r="45" spans="2:14">
      <c r="B45" s="18" t="s">
        <v>37</v>
      </c>
      <c r="C45" s="14" t="s">
        <v>148</v>
      </c>
      <c r="D45" s="19" t="s">
        <v>83</v>
      </c>
      <c r="E45" s="148" t="s">
        <v>5</v>
      </c>
      <c r="F45" s="21">
        <f>SUMIFS('ریز گزارش ارزی'!$AC$8:$AC$9818,'ریز گزارش ارزی'!$AC$8:$AC$9818,"&gt;0",'ریز گزارش ارزی'!$AF$8:$AF$9818,"4",'ریز گزارش ارزی'!$H$8:$H$9818,B45,'ریز گزارش ارزی'!$F$8:$F$9818,C45,'ریز گزارش ارزی'!$G$8:$G$9818,E45)</f>
        <v>0</v>
      </c>
      <c r="G45" s="21">
        <f>SUMIFS('ریز گزارش ارزی'!$AD$8:$AD$9818,'ریز گزارش ارزی'!$AD$8:$AD$9818,"&gt;0",'ریز گزارش ارزی'!$AF$8:$AF$9818,"4",'ریز گزارش ارزی'!$H$8:$H$9818,B45,'ریز گزارش ارزی'!$F$8:$F$9818,C45,'ریز گزارش ارزی'!$G$8:$G$9818,E45)</f>
        <v>0</v>
      </c>
      <c r="I45" s="18" t="s">
        <v>37</v>
      </c>
      <c r="J45" s="18" t="s">
        <v>156</v>
      </c>
      <c r="K45" s="19" t="s">
        <v>44</v>
      </c>
      <c r="L45" s="148" t="s">
        <v>5</v>
      </c>
      <c r="M45" s="21">
        <f>SUMIFS('ریز گزارش ارزی'!$L$8:$L$9818,'ریز گزارش ارزی'!$L$8:$L$9818,"&gt;0",'ریز گزارش ارزی'!$H$8:$H$9818,I45,'ریز گزارش ارزی'!$F$8:$F$9818,J45,'ریز گزارش ارزی'!$G$8:$G$9818,L45)</f>
        <v>0</v>
      </c>
      <c r="N45" s="21"/>
    </row>
    <row r="46" spans="2:14">
      <c r="B46" s="147" t="s">
        <v>157</v>
      </c>
      <c r="C46" s="14" t="s">
        <v>148</v>
      </c>
      <c r="D46" s="15" t="s">
        <v>83</v>
      </c>
      <c r="E46" s="16" t="s">
        <v>6</v>
      </c>
      <c r="F46" s="17">
        <f>SUMIFS('ریز گزارش ارزی'!$AC$8:$AC$9818,'ریز گزارش ارزی'!$AC$8:$AC$9818,"&gt;0",'ریز گزارش ارزی'!$AF$8:$AF$9818,"4",'ریز گزارش ارزی'!$H$8:$H$9818,B46,'ریز گزارش ارزی'!$F$8:$F$9818,C46,'ریز گزارش ارزی'!$G$8:$G$9818,E46)</f>
        <v>0</v>
      </c>
      <c r="G46" s="17">
        <f>SUMIFS('ریز گزارش ارزی'!$AD$8:$AD$9818,'ریز گزارش ارزی'!$AD$8:$AD$9818,"&gt;0",'ریز گزارش ارزی'!$AF$8:$AF$9818,"4",'ریز گزارش ارزی'!$H$8:$H$9818,B46,'ریز گزارش ارزی'!$F$8:$F$9818,C46,'ریز گزارش ارزی'!$G$8:$G$9818,E46)</f>
        <v>0</v>
      </c>
      <c r="I46" s="147" t="s">
        <v>157</v>
      </c>
      <c r="J46" s="18" t="s">
        <v>156</v>
      </c>
      <c r="K46" s="15" t="s">
        <v>44</v>
      </c>
      <c r="L46" s="16" t="s">
        <v>6</v>
      </c>
      <c r="M46" s="17">
        <f>SUMIFS('ریز گزارش ارزی'!$L$8:$L$9818,'ریز گزارش ارزی'!$L$8:$L$9818,"&gt;0",'ریز گزارش ارزی'!$H$8:$H$9818,I46,'ریز گزارش ارزی'!$F$8:$F$9818,J46,'ریز گزارش ارزی'!$G$8:$G$9818,L46)</f>
        <v>0</v>
      </c>
      <c r="N46" s="17"/>
    </row>
    <row r="47" spans="2:14">
      <c r="B47" s="147" t="s">
        <v>157</v>
      </c>
      <c r="C47" s="14" t="s">
        <v>148</v>
      </c>
      <c r="D47" s="15" t="s">
        <v>83</v>
      </c>
      <c r="E47" s="16" t="s">
        <v>0</v>
      </c>
      <c r="F47" s="17">
        <f>SUMIFS('ریز گزارش ارزی'!$AC$8:$AC$9818,'ریز گزارش ارزی'!$AC$8:$AC$9818,"&gt;0",'ریز گزارش ارزی'!$AF$8:$AF$9818,"4",'ریز گزارش ارزی'!$H$8:$H$9818,B47,'ریز گزارش ارزی'!$F$8:$F$9818,C47,'ریز گزارش ارزی'!$G$8:$G$9818,E47)</f>
        <v>0</v>
      </c>
      <c r="G47" s="17">
        <f>SUMIFS('ریز گزارش ارزی'!$AD$8:$AD$9818,'ریز گزارش ارزی'!$AD$8:$AD$9818,"&gt;0",'ریز گزارش ارزی'!$AF$8:$AF$9818,"4",'ریز گزارش ارزی'!$H$8:$H$9818,B47,'ریز گزارش ارزی'!$F$8:$F$9818,C47,'ریز گزارش ارزی'!$G$8:$G$9818,E47)</f>
        <v>0</v>
      </c>
      <c r="I47" s="147" t="s">
        <v>157</v>
      </c>
      <c r="J47" s="18" t="s">
        <v>156</v>
      </c>
      <c r="K47" s="15" t="s">
        <v>44</v>
      </c>
      <c r="L47" s="16" t="s">
        <v>0</v>
      </c>
      <c r="M47" s="17">
        <f>SUMIFS('ریز گزارش ارزی'!$L$8:$L$9818,'ریز گزارش ارزی'!$L$8:$L$9818,"&gt;0",'ریز گزارش ارزی'!$H$8:$H$9818,I47,'ریز گزارش ارزی'!$F$8:$F$9818,J47,'ریز گزارش ارزی'!$G$8:$G$9818,L47)</f>
        <v>960</v>
      </c>
      <c r="N47" s="17"/>
    </row>
    <row r="48" spans="2:14">
      <c r="B48" s="147" t="s">
        <v>157</v>
      </c>
      <c r="C48" s="14" t="s">
        <v>148</v>
      </c>
      <c r="D48" s="15" t="s">
        <v>83</v>
      </c>
      <c r="E48" s="16" t="s">
        <v>1</v>
      </c>
      <c r="F48" s="17">
        <f>SUMIFS('ریز گزارش ارزی'!$AC$8:$AC$9818,'ریز گزارش ارزی'!$AC$8:$AC$9818,"&gt;0",'ریز گزارش ارزی'!$AF$8:$AF$9818,"4",'ریز گزارش ارزی'!$H$8:$H$9818,B48,'ریز گزارش ارزی'!$F$8:$F$9818,C48,'ریز گزارش ارزی'!$G$8:$G$9818,E48)</f>
        <v>0</v>
      </c>
      <c r="G48" s="17">
        <f>SUMIFS('ریز گزارش ارزی'!$AD$8:$AD$9818,'ریز گزارش ارزی'!$AD$8:$AD$9818,"&gt;0",'ریز گزارش ارزی'!$AF$8:$AF$9818,"4",'ریز گزارش ارزی'!$H$8:$H$9818,B48,'ریز گزارش ارزی'!$F$8:$F$9818,C48,'ریز گزارش ارزی'!$G$8:$G$9818,E48)</f>
        <v>0</v>
      </c>
      <c r="I48" s="147" t="s">
        <v>157</v>
      </c>
      <c r="J48" s="18" t="s">
        <v>156</v>
      </c>
      <c r="K48" s="15" t="s">
        <v>44</v>
      </c>
      <c r="L48" s="16" t="s">
        <v>1</v>
      </c>
      <c r="M48" s="17">
        <f>SUMIFS('ریز گزارش ارزی'!$L$8:$L$9818,'ریز گزارش ارزی'!$L$8:$L$9818,"&gt;0",'ریز گزارش ارزی'!$H$8:$H$9818,I48,'ریز گزارش ارزی'!$F$8:$F$9818,J48,'ریز گزارش ارزی'!$G$8:$G$9818,L48)</f>
        <v>0</v>
      </c>
      <c r="N48" s="17"/>
    </row>
    <row r="49" spans="2:14">
      <c r="B49" s="147" t="s">
        <v>157</v>
      </c>
      <c r="C49" s="14" t="s">
        <v>148</v>
      </c>
      <c r="D49" s="15" t="s">
        <v>83</v>
      </c>
      <c r="E49" s="16" t="s">
        <v>3</v>
      </c>
      <c r="F49" s="17">
        <f>SUMIFS('ریز گزارش ارزی'!$AC$8:$AC$9818,'ریز گزارش ارزی'!$AC$8:$AC$9818,"&gt;0",'ریز گزارش ارزی'!$AF$8:$AF$9818,"4",'ریز گزارش ارزی'!$H$8:$H$9818,B49,'ریز گزارش ارزی'!$F$8:$F$9818,C49,'ریز گزارش ارزی'!$G$8:$G$9818,E49)</f>
        <v>0</v>
      </c>
      <c r="G49" s="17">
        <f>SUMIFS('ریز گزارش ارزی'!$AD$8:$AD$9818,'ریز گزارش ارزی'!$AD$8:$AD$9818,"&gt;0",'ریز گزارش ارزی'!$AF$8:$AF$9818,"4",'ریز گزارش ارزی'!$H$8:$H$9818,B49,'ریز گزارش ارزی'!$F$8:$F$9818,C49,'ریز گزارش ارزی'!$G$8:$G$9818,E49)</f>
        <v>0</v>
      </c>
      <c r="I49" s="147" t="s">
        <v>157</v>
      </c>
      <c r="J49" s="18" t="s">
        <v>156</v>
      </c>
      <c r="K49" s="15" t="s">
        <v>44</v>
      </c>
      <c r="L49" s="16" t="s">
        <v>3</v>
      </c>
      <c r="M49" s="17">
        <f>SUMIFS('ریز گزارش ارزی'!$L$8:$L$9818,'ریز گزارش ارزی'!$L$8:$L$9818,"&gt;0",'ریز گزارش ارزی'!$H$8:$H$9818,I49,'ریز گزارش ارزی'!$F$8:$F$9818,J49,'ریز گزارش ارزی'!$G$8:$G$9818,L49)</f>
        <v>0</v>
      </c>
      <c r="N49" s="17"/>
    </row>
    <row r="50" spans="2:14">
      <c r="B50" s="147" t="s">
        <v>157</v>
      </c>
      <c r="C50" s="14" t="s">
        <v>148</v>
      </c>
      <c r="D50" s="15" t="s">
        <v>83</v>
      </c>
      <c r="E50" s="16" t="s">
        <v>9</v>
      </c>
      <c r="F50" s="17">
        <f>SUMIFS('ریز گزارش ارزی'!$AC$8:$AC$9818,'ریز گزارش ارزی'!$AC$8:$AC$9818,"&gt;0",'ریز گزارش ارزی'!$AF$8:$AF$9818,"4",'ریز گزارش ارزی'!$H$8:$H$9818,B50,'ریز گزارش ارزی'!$F$8:$F$9818,C50,'ریز گزارش ارزی'!$G$8:$G$9818,E50)</f>
        <v>0</v>
      </c>
      <c r="G50" s="17">
        <f>SUMIFS('ریز گزارش ارزی'!$AD$8:$AD$9818,'ریز گزارش ارزی'!$AD$8:$AD$9818,"&gt;0",'ریز گزارش ارزی'!$AF$8:$AF$9818,"4",'ریز گزارش ارزی'!$H$8:$H$9818,B50,'ریز گزارش ارزی'!$F$8:$F$9818,C50,'ریز گزارش ارزی'!$G$8:$G$9818,E50)</f>
        <v>0</v>
      </c>
      <c r="I50" s="147" t="s">
        <v>157</v>
      </c>
      <c r="J50" s="18" t="s">
        <v>156</v>
      </c>
      <c r="K50" s="15" t="s">
        <v>44</v>
      </c>
      <c r="L50" s="16" t="s">
        <v>9</v>
      </c>
      <c r="M50" s="17">
        <f>SUMIFS('ریز گزارش ارزی'!$L$8:$L$9818,'ریز گزارش ارزی'!$L$8:$L$9818,"&gt;0",'ریز گزارش ارزی'!$H$8:$H$9818,I50,'ریز گزارش ارزی'!$F$8:$F$9818,J50,'ریز گزارش ارزی'!$G$8:$G$9818,L50)</f>
        <v>0</v>
      </c>
      <c r="N50" s="17"/>
    </row>
    <row r="51" spans="2:14">
      <c r="B51" s="147" t="s">
        <v>157</v>
      </c>
      <c r="C51" s="14" t="s">
        <v>148</v>
      </c>
      <c r="D51" s="15" t="s">
        <v>83</v>
      </c>
      <c r="E51" s="16" t="s">
        <v>14</v>
      </c>
      <c r="F51" s="17">
        <f>SUMIFS('ریز گزارش ارزی'!$AC$8:$AC$9818,'ریز گزارش ارزی'!$AC$8:$AC$9818,"&gt;0",'ریز گزارش ارزی'!$AF$8:$AF$9818,"4",'ریز گزارش ارزی'!$H$8:$H$9818,B51,'ریز گزارش ارزی'!$F$8:$F$9818,C51,'ریز گزارش ارزی'!$G$8:$G$9818,E51)</f>
        <v>0</v>
      </c>
      <c r="G51" s="17">
        <f>SUMIFS('ریز گزارش ارزی'!$AD$8:$AD$9818,'ریز گزارش ارزی'!$AD$8:$AD$9818,"&gt;0",'ریز گزارش ارزی'!$AF$8:$AF$9818,"4",'ریز گزارش ارزی'!$H$8:$H$9818,B51,'ریز گزارش ارزی'!$F$8:$F$9818,C51,'ریز گزارش ارزی'!$G$8:$G$9818,E51)</f>
        <v>0</v>
      </c>
      <c r="I51" s="147" t="s">
        <v>157</v>
      </c>
      <c r="J51" s="18" t="s">
        <v>156</v>
      </c>
      <c r="K51" s="15" t="s">
        <v>44</v>
      </c>
      <c r="L51" s="16" t="s">
        <v>14</v>
      </c>
      <c r="M51" s="17">
        <f>SUMIFS('ریز گزارش ارزی'!$L$8:$L$9818,'ریز گزارش ارزی'!$L$8:$L$9818,"&gt;0",'ریز گزارش ارزی'!$H$8:$H$9818,I51,'ریز گزارش ارزی'!$F$8:$F$9818,J51,'ریز گزارش ارزی'!$G$8:$G$9818,L51)</f>
        <v>0</v>
      </c>
      <c r="N51" s="17"/>
    </row>
    <row r="52" spans="2:14">
      <c r="B52" s="147" t="s">
        <v>157</v>
      </c>
      <c r="C52" s="14" t="s">
        <v>148</v>
      </c>
      <c r="D52" s="15" t="s">
        <v>83</v>
      </c>
      <c r="E52" s="16" t="s">
        <v>5</v>
      </c>
      <c r="F52" s="17">
        <f>SUMIFS('ریز گزارش ارزی'!$AC$8:$AC$9818,'ریز گزارش ارزی'!$AC$8:$AC$9818,"&gt;0",'ریز گزارش ارزی'!$AF$8:$AF$9818,"4",'ریز گزارش ارزی'!$H$8:$H$9818,B52,'ریز گزارش ارزی'!$F$8:$F$9818,C52,'ریز گزارش ارزی'!$G$8:$G$9818,E52)</f>
        <v>0</v>
      </c>
      <c r="G52" s="17">
        <f>SUMIFS('ریز گزارش ارزی'!$AD$8:$AD$9818,'ریز گزارش ارزی'!$AD$8:$AD$9818,"&gt;0",'ریز گزارش ارزی'!$AF$8:$AF$9818,"4",'ریز گزارش ارزی'!$H$8:$H$9818,B52,'ریز گزارش ارزی'!$F$8:$F$9818,C52,'ریز گزارش ارزی'!$G$8:$G$9818,E52)</f>
        <v>0</v>
      </c>
      <c r="I52" s="147" t="s">
        <v>157</v>
      </c>
      <c r="J52" s="18" t="s">
        <v>156</v>
      </c>
      <c r="K52" s="15" t="s">
        <v>44</v>
      </c>
      <c r="L52" s="16" t="s">
        <v>5</v>
      </c>
      <c r="M52" s="17">
        <f>SUMIFS('ریز گزارش ارزی'!$L$8:$L$9818,'ریز گزارش ارزی'!$L$8:$L$9818,"&gt;0",'ریز گزارش ارزی'!$H$8:$H$9818,I52,'ریز گزارش ارزی'!$F$8:$F$9818,J52,'ریز گزارش ارزی'!$G$8:$G$9818,L52)</f>
        <v>0</v>
      </c>
      <c r="N52" s="17"/>
    </row>
    <row r="53" spans="2:14">
      <c r="B53" s="150" t="s">
        <v>158</v>
      </c>
      <c r="C53" s="14" t="s">
        <v>148</v>
      </c>
      <c r="D53" s="19" t="s">
        <v>83</v>
      </c>
      <c r="E53" s="148" t="s">
        <v>6</v>
      </c>
      <c r="F53" s="21">
        <f>SUMIFS('ریز گزارش ارزی'!$AC$8:$AC$9818,'ریز گزارش ارزی'!$AC$8:$AC$9818,"&gt;0",'ریز گزارش ارزی'!$AF$8:$AF$9818,"4",'ریز گزارش ارزی'!$H$8:$H$9818,B53,'ریز گزارش ارزی'!$F$8:$F$9818,C53,'ریز گزارش ارزی'!$G$8:$G$9818,E53)</f>
        <v>0</v>
      </c>
      <c r="G53" s="21">
        <f>SUMIFS('ریز گزارش ارزی'!$AD$8:$AD$9818,'ریز گزارش ارزی'!$AD$8:$AD$9818,"&gt;0",'ریز گزارش ارزی'!$AF$8:$AF$9818,"4",'ریز گزارش ارزی'!$H$8:$H$9818,B53,'ریز گزارش ارزی'!$F$8:$F$9818,C53,'ریز گزارش ارزی'!$G$8:$G$9818,E53)</f>
        <v>0</v>
      </c>
      <c r="I53" s="150" t="s">
        <v>158</v>
      </c>
      <c r="J53" s="18" t="s">
        <v>156</v>
      </c>
      <c r="K53" s="19" t="s">
        <v>44</v>
      </c>
      <c r="L53" s="148" t="s">
        <v>6</v>
      </c>
      <c r="M53" s="21">
        <f>SUMIFS('ریز گزارش ارزی'!$L$8:$L$9818,'ریز گزارش ارزی'!$L$8:$L$9818,"&gt;0",'ریز گزارش ارزی'!$H$8:$H$9818,I53,'ریز گزارش ارزی'!$F$8:$F$9818,J53,'ریز گزارش ارزی'!$G$8:$G$9818,L53)</f>
        <v>0</v>
      </c>
      <c r="N53" s="21"/>
    </row>
    <row r="54" spans="2:14">
      <c r="B54" s="150" t="s">
        <v>158</v>
      </c>
      <c r="C54" s="14" t="s">
        <v>148</v>
      </c>
      <c r="D54" s="19" t="s">
        <v>83</v>
      </c>
      <c r="E54" s="148" t="s">
        <v>0</v>
      </c>
      <c r="F54" s="21">
        <f>SUMIFS('ریز گزارش ارزی'!$AC$8:$AC$9818,'ریز گزارش ارزی'!$AC$8:$AC$9818,"&gt;0",'ریز گزارش ارزی'!$AF$8:$AF$9818,"4",'ریز گزارش ارزی'!$H$8:$H$9818,B54,'ریز گزارش ارزی'!$F$8:$F$9818,C54,'ریز گزارش ارزی'!$G$8:$G$9818,E54)</f>
        <v>0</v>
      </c>
      <c r="G54" s="21">
        <f>SUMIFS('ریز گزارش ارزی'!$AD$8:$AD$9818,'ریز گزارش ارزی'!$AD$8:$AD$9818,"&gt;0",'ریز گزارش ارزی'!$AF$8:$AF$9818,"4",'ریز گزارش ارزی'!$H$8:$H$9818,B54,'ریز گزارش ارزی'!$F$8:$F$9818,C54,'ریز گزارش ارزی'!$G$8:$G$9818,E54)</f>
        <v>0</v>
      </c>
      <c r="I54" s="150" t="s">
        <v>158</v>
      </c>
      <c r="J54" s="18" t="s">
        <v>156</v>
      </c>
      <c r="K54" s="19" t="s">
        <v>44</v>
      </c>
      <c r="L54" s="148" t="s">
        <v>0</v>
      </c>
      <c r="M54" s="21">
        <f>SUMIFS('ریز گزارش ارزی'!$L$8:$L$9818,'ریز گزارش ارزی'!$L$8:$L$9818,"&gt;0",'ریز گزارش ارزی'!$H$8:$H$9818,I54,'ریز گزارش ارزی'!$F$8:$F$9818,J54,'ریز گزارش ارزی'!$G$8:$G$9818,L54)</f>
        <v>370</v>
      </c>
      <c r="N54" s="21"/>
    </row>
    <row r="55" spans="2:14">
      <c r="B55" s="150" t="s">
        <v>158</v>
      </c>
      <c r="C55" s="14" t="s">
        <v>148</v>
      </c>
      <c r="D55" s="19" t="s">
        <v>83</v>
      </c>
      <c r="E55" s="148" t="s">
        <v>1</v>
      </c>
      <c r="F55" s="21">
        <f>SUMIFS('ریز گزارش ارزی'!$AC$8:$AC$9818,'ریز گزارش ارزی'!$AC$8:$AC$9818,"&gt;0",'ریز گزارش ارزی'!$AF$8:$AF$9818,"4",'ریز گزارش ارزی'!$H$8:$H$9818,B55,'ریز گزارش ارزی'!$F$8:$F$9818,C55,'ریز گزارش ارزی'!$G$8:$G$9818,E55)</f>
        <v>0</v>
      </c>
      <c r="G55" s="21">
        <f>SUMIFS('ریز گزارش ارزی'!$AD$8:$AD$9818,'ریز گزارش ارزی'!$AD$8:$AD$9818,"&gt;0",'ریز گزارش ارزی'!$AF$8:$AF$9818,"4",'ریز گزارش ارزی'!$H$8:$H$9818,B55,'ریز گزارش ارزی'!$F$8:$F$9818,C55,'ریز گزارش ارزی'!$G$8:$G$9818,E55)</f>
        <v>0</v>
      </c>
      <c r="I55" s="150" t="s">
        <v>158</v>
      </c>
      <c r="J55" s="18" t="s">
        <v>156</v>
      </c>
      <c r="K55" s="19" t="s">
        <v>44</v>
      </c>
      <c r="L55" s="148" t="s">
        <v>1</v>
      </c>
      <c r="M55" s="21">
        <f>SUMIFS('ریز گزارش ارزی'!$L$8:$L$9818,'ریز گزارش ارزی'!$L$8:$L$9818,"&gt;0",'ریز گزارش ارزی'!$H$8:$H$9818,I55,'ریز گزارش ارزی'!$F$8:$F$9818,J55,'ریز گزارش ارزی'!$G$8:$G$9818,L55)</f>
        <v>0</v>
      </c>
      <c r="N55" s="21"/>
    </row>
    <row r="56" spans="2:14">
      <c r="B56" s="150" t="s">
        <v>158</v>
      </c>
      <c r="C56" s="14" t="s">
        <v>148</v>
      </c>
      <c r="D56" s="19" t="s">
        <v>83</v>
      </c>
      <c r="E56" s="148" t="s">
        <v>3</v>
      </c>
      <c r="F56" s="21">
        <f>SUMIFS('ریز گزارش ارزی'!$AC$8:$AC$9818,'ریز گزارش ارزی'!$AC$8:$AC$9818,"&gt;0",'ریز گزارش ارزی'!$AF$8:$AF$9818,"4",'ریز گزارش ارزی'!$H$8:$H$9818,B56,'ریز گزارش ارزی'!$F$8:$F$9818,C56,'ریز گزارش ارزی'!$G$8:$G$9818,E56)</f>
        <v>0</v>
      </c>
      <c r="G56" s="21">
        <f>SUMIFS('ریز گزارش ارزی'!$AD$8:$AD$9818,'ریز گزارش ارزی'!$AD$8:$AD$9818,"&gt;0",'ریز گزارش ارزی'!$AF$8:$AF$9818,"4",'ریز گزارش ارزی'!$H$8:$H$9818,B56,'ریز گزارش ارزی'!$F$8:$F$9818,C56,'ریز گزارش ارزی'!$G$8:$G$9818,E56)</f>
        <v>0</v>
      </c>
      <c r="I56" s="150" t="s">
        <v>158</v>
      </c>
      <c r="J56" s="18" t="s">
        <v>156</v>
      </c>
      <c r="K56" s="19" t="s">
        <v>44</v>
      </c>
      <c r="L56" s="148" t="s">
        <v>3</v>
      </c>
      <c r="M56" s="21">
        <f>SUMIFS('ریز گزارش ارزی'!$L$8:$L$9818,'ریز گزارش ارزی'!$L$8:$L$9818,"&gt;0",'ریز گزارش ارزی'!$H$8:$H$9818,I56,'ریز گزارش ارزی'!$F$8:$F$9818,J56,'ریز گزارش ارزی'!$G$8:$G$9818,L56)</f>
        <v>0</v>
      </c>
      <c r="N56" s="21"/>
    </row>
    <row r="57" spans="2:14">
      <c r="B57" s="150" t="s">
        <v>158</v>
      </c>
      <c r="C57" s="14" t="s">
        <v>148</v>
      </c>
      <c r="D57" s="19" t="s">
        <v>83</v>
      </c>
      <c r="E57" s="148" t="s">
        <v>9</v>
      </c>
      <c r="F57" s="21">
        <f>SUMIFS('ریز گزارش ارزی'!$AC$8:$AC$9818,'ریز گزارش ارزی'!$AC$8:$AC$9818,"&gt;0",'ریز گزارش ارزی'!$AF$8:$AF$9818,"4",'ریز گزارش ارزی'!$H$8:$H$9818,B57,'ریز گزارش ارزی'!$F$8:$F$9818,C57,'ریز گزارش ارزی'!$G$8:$G$9818,E57)</f>
        <v>0</v>
      </c>
      <c r="G57" s="21">
        <f>SUMIFS('ریز گزارش ارزی'!$AD$8:$AD$9818,'ریز گزارش ارزی'!$AD$8:$AD$9818,"&gt;0",'ریز گزارش ارزی'!$AF$8:$AF$9818,"4",'ریز گزارش ارزی'!$H$8:$H$9818,B57,'ریز گزارش ارزی'!$F$8:$F$9818,C57,'ریز گزارش ارزی'!$G$8:$G$9818,E57)</f>
        <v>0</v>
      </c>
      <c r="I57" s="150" t="s">
        <v>158</v>
      </c>
      <c r="J57" s="18" t="s">
        <v>156</v>
      </c>
      <c r="K57" s="19" t="s">
        <v>44</v>
      </c>
      <c r="L57" s="148" t="s">
        <v>9</v>
      </c>
      <c r="M57" s="21">
        <f>SUMIFS('ریز گزارش ارزی'!$L$8:$L$9818,'ریز گزارش ارزی'!$L$8:$L$9818,"&gt;0",'ریز گزارش ارزی'!$H$8:$H$9818,I57,'ریز گزارش ارزی'!$F$8:$F$9818,J57,'ریز گزارش ارزی'!$G$8:$G$9818,L57)</f>
        <v>0</v>
      </c>
      <c r="N57" s="21"/>
    </row>
    <row r="58" spans="2:14">
      <c r="B58" s="150" t="s">
        <v>158</v>
      </c>
      <c r="C58" s="14" t="s">
        <v>148</v>
      </c>
      <c r="D58" s="19" t="s">
        <v>83</v>
      </c>
      <c r="E58" s="148" t="s">
        <v>14</v>
      </c>
      <c r="F58" s="21">
        <f>SUMIFS('ریز گزارش ارزی'!$AC$8:$AC$9818,'ریز گزارش ارزی'!$AC$8:$AC$9818,"&gt;0",'ریز گزارش ارزی'!$AF$8:$AF$9818,"4",'ریز گزارش ارزی'!$H$8:$H$9818,B58,'ریز گزارش ارزی'!$F$8:$F$9818,C58,'ریز گزارش ارزی'!$G$8:$G$9818,E58)</f>
        <v>0</v>
      </c>
      <c r="G58" s="21">
        <f>SUMIFS('ریز گزارش ارزی'!$AD$8:$AD$9818,'ریز گزارش ارزی'!$AD$8:$AD$9818,"&gt;0",'ریز گزارش ارزی'!$AF$8:$AF$9818,"4",'ریز گزارش ارزی'!$H$8:$H$9818,B58,'ریز گزارش ارزی'!$F$8:$F$9818,C58,'ریز گزارش ارزی'!$G$8:$G$9818,E58)</f>
        <v>0</v>
      </c>
      <c r="I58" s="150" t="s">
        <v>158</v>
      </c>
      <c r="J58" s="18" t="s">
        <v>156</v>
      </c>
      <c r="K58" s="19" t="s">
        <v>44</v>
      </c>
      <c r="L58" s="148" t="s">
        <v>14</v>
      </c>
      <c r="M58" s="21">
        <f>SUMIFS('ریز گزارش ارزی'!$L$8:$L$9818,'ریز گزارش ارزی'!$L$8:$L$9818,"&gt;0",'ریز گزارش ارزی'!$H$8:$H$9818,I58,'ریز گزارش ارزی'!$F$8:$F$9818,J58,'ریز گزارش ارزی'!$G$8:$G$9818,L58)</f>
        <v>0</v>
      </c>
      <c r="N58" s="21"/>
    </row>
    <row r="59" spans="2:14">
      <c r="B59" s="150" t="s">
        <v>158</v>
      </c>
      <c r="C59" s="14" t="s">
        <v>148</v>
      </c>
      <c r="D59" s="19" t="s">
        <v>83</v>
      </c>
      <c r="E59" s="148" t="s">
        <v>5</v>
      </c>
      <c r="F59" s="21">
        <f>SUMIFS('ریز گزارش ارزی'!$AC$8:$AC$9818,'ریز گزارش ارزی'!$AC$8:$AC$9818,"&gt;0",'ریز گزارش ارزی'!$AF$8:$AF$9818,"4",'ریز گزارش ارزی'!$H$8:$H$9818,B59,'ریز گزارش ارزی'!$F$8:$F$9818,C59,'ریز گزارش ارزی'!$G$8:$G$9818,E59)</f>
        <v>0</v>
      </c>
      <c r="G59" s="21">
        <f>SUMIFS('ریز گزارش ارزی'!$AD$8:$AD$9818,'ریز گزارش ارزی'!$AD$8:$AD$9818,"&gt;0",'ریز گزارش ارزی'!$AF$8:$AF$9818,"4",'ریز گزارش ارزی'!$H$8:$H$9818,B59,'ریز گزارش ارزی'!$F$8:$F$9818,C59,'ریز گزارش ارزی'!$G$8:$G$9818,E59)</f>
        <v>0</v>
      </c>
      <c r="I59" s="150" t="s">
        <v>158</v>
      </c>
      <c r="J59" s="18" t="s">
        <v>156</v>
      </c>
      <c r="K59" s="19" t="s">
        <v>44</v>
      </c>
      <c r="L59" s="148" t="s">
        <v>5</v>
      </c>
      <c r="M59" s="21">
        <f>SUMIFS('ریز گزارش ارزی'!$L$8:$L$9818,'ریز گزارش ارزی'!$L$8:$L$9818,"&gt;0",'ریز گزارش ارزی'!$H$8:$H$9818,I59,'ریز گزارش ارزی'!$F$8:$F$9818,J59,'ریز گزارش ارزی'!$G$8:$G$9818,L59)</f>
        <v>0</v>
      </c>
      <c r="N59" s="21"/>
    </row>
    <row r="60" spans="2:14">
      <c r="B60" s="147" t="s">
        <v>38</v>
      </c>
      <c r="C60" s="14" t="s">
        <v>148</v>
      </c>
      <c r="D60" s="15" t="s">
        <v>84</v>
      </c>
      <c r="E60" s="16" t="s">
        <v>6</v>
      </c>
      <c r="F60" s="17">
        <f>SUMIFS('ریز گزارش ارزی'!$AC$8:$AC$9818,'ریز گزارش ارزی'!$AC$8:$AC$9818,"&gt;0",'ریز گزارش ارزی'!$AF$8:$AF$9818,"5",'ریز گزارش ارزی'!$H$8:$H$9818,B60,'ریز گزارش ارزی'!$F$8:$F$9818,C60,'ریز گزارش ارزی'!$G$8:$G$9818,E60)</f>
        <v>0</v>
      </c>
      <c r="G60" s="17">
        <f>SUMIFS('ریز گزارش ارزی'!$AD$8:$AD$9818,'ریز گزارش ارزی'!$AD$8:$AD$9818,"&gt;0",'ریز گزارش ارزی'!$AF$8:$AF$9818,"5",'ریز گزارش ارزی'!$H$8:$H$9818,B60,'ریز گزارش ارزی'!$F$8:$F$9818,C60,'ریز گزارش ارزی'!$G$8:$G$9818,E60)</f>
        <v>0</v>
      </c>
      <c r="I60" s="147" t="s">
        <v>38</v>
      </c>
      <c r="J60" s="22" t="s">
        <v>4</v>
      </c>
      <c r="K60" s="15" t="s">
        <v>12</v>
      </c>
      <c r="L60" s="16" t="s">
        <v>7</v>
      </c>
      <c r="M60" s="17">
        <f>SUMIFS('ریز گزارش ارزی'!$V$8:$V$9818,'ریز گزارش ارزی'!$V$8:$V$9818,"&gt;0",'ریز گزارش ارزی'!$H$8:$H$9818,I60)+SUMIFS('ریز گزارش ارزی'!$AM$8:$AM$9818,'ریز گزارش ارزی'!$AM$8:$AM$9818,"&gt;0",'ریز گزارش ارزی'!$H$8:$H$9818,I60)+SUMIFS('ریز گزارش ارزی'!$AC$8:$AC$9818,'ریز گزارش ارزی'!$AC$8:$AC$9818,"&gt;0",'ریز گزارش ارزی'!$AF$8:$AF$9818,"3",'ریز گزارش ارزی'!$H$8:$H$9818,I60,'ریز گزارش ارزی'!$F$8:$F$9818,J60,'ریز گزارش ارزی'!$G$8:$G$9818,L60)-SUMIFS('ریز گزارش ارزی'!AD7:AD9817,'ریز گزارش ارزی'!AD7:AD9817,"&gt;0",'ریز گزارش ارزی'!$AF$8:$AF$9818,"3",'ریز گزارش ارزی'!$H$8:$H$9818,I60,'ریز گزارش ارزی'!$F$8:$F$9818,J60,'ریز گزارش ارزی'!$G$8:$G$9818,L60)</f>
        <v>67.730000000000018</v>
      </c>
      <c r="N60" s="17"/>
    </row>
    <row r="61" spans="2:14">
      <c r="B61" s="147" t="s">
        <v>38</v>
      </c>
      <c r="C61" s="14" t="s">
        <v>148</v>
      </c>
      <c r="D61" s="15" t="s">
        <v>84</v>
      </c>
      <c r="E61" s="16" t="s">
        <v>0</v>
      </c>
      <c r="F61" s="17">
        <f>SUMIFS('ریز گزارش ارزی'!$AC$8:$AC$9818,'ریز گزارش ارزی'!$AC$8:$AC$9818,"&gt;0",'ریز گزارش ارزی'!$AF$8:$AF$9818,"5",'ریز گزارش ارزی'!$H$8:$H$9818,B61,'ریز گزارش ارزی'!$F$8:$F$9818,C61,'ریز گزارش ارزی'!$G$8:$G$9818,E61)</f>
        <v>0</v>
      </c>
      <c r="G61" s="17">
        <f>SUMIFS('ریز گزارش ارزی'!$AD$8:$AD$9818,'ریز گزارش ارزی'!$AD$8:$AD$9818,"&gt;0",'ریز گزارش ارزی'!$AF$8:$AF$9818,"5",'ریز گزارش ارزی'!$H$8:$H$9818,B61,'ریز گزارش ارزی'!$F$8:$F$9818,C61,'ریز گزارش ارزی'!$G$8:$G$9818,E61)</f>
        <v>0</v>
      </c>
      <c r="I61" s="147" t="s">
        <v>37</v>
      </c>
      <c r="J61" s="22" t="s">
        <v>4</v>
      </c>
      <c r="K61" s="15" t="s">
        <v>12</v>
      </c>
      <c r="L61" s="16" t="s">
        <v>7</v>
      </c>
      <c r="M61" s="17">
        <f>SUMIFS('ریز گزارش ارزی'!$V$8:$V$9818,'ریز گزارش ارزی'!$V$8:$V$9818,"&gt;0",'ریز گزارش ارزی'!$H$8:$H$9818,I61)+SUMIFS('ریز گزارش ارزی'!$AM$8:$AM$9818,'ریز گزارش ارزی'!$AM$8:$AM$9818,"&gt;0",'ریز گزارش ارزی'!$H$8:$H$9818,I61)+SUMIFS('ریز گزارش ارزی'!$AC$8:$AC$9818,'ریز گزارش ارزی'!$AC$8:$AC$9818,"&gt;0",'ریز گزارش ارزی'!$AF$8:$AF$9818,"3",'ریز گزارش ارزی'!$H$8:$H$9818,I61,'ریز گزارش ارزی'!$F$8:$F$9818,J61,'ریز گزارش ارزی'!$G$8:$G$9818,L61)-SUMIFS('ریز گزارش ارزی'!AD8:AD9818,'ریز گزارش ارزی'!AD8:AD9818,"&gt;0",'ریز گزارش ارزی'!$AF$8:$AF$9818,"3",'ریز گزارش ارزی'!$H$8:$H$9818,I61,'ریز گزارش ارزی'!$F$8:$F$9818,J61,'ریز گزارش ارزی'!$G$8:$G$9818,L61)</f>
        <v>326.79655172413788</v>
      </c>
      <c r="N61" s="17"/>
    </row>
    <row r="62" spans="2:14">
      <c r="B62" s="147" t="s">
        <v>38</v>
      </c>
      <c r="C62" s="14" t="s">
        <v>148</v>
      </c>
      <c r="D62" s="15" t="s">
        <v>84</v>
      </c>
      <c r="E62" s="16" t="s">
        <v>1</v>
      </c>
      <c r="F62" s="17">
        <f>SUMIFS('ریز گزارش ارزی'!$AC$8:$AC$9818,'ریز گزارش ارزی'!$AC$8:$AC$9818,"&gt;0",'ریز گزارش ارزی'!$AF$8:$AF$9818,"5",'ریز گزارش ارزی'!$H$8:$H$9818,B62,'ریز گزارش ارزی'!$F$8:$F$9818,C62,'ریز گزارش ارزی'!$G$8:$G$9818,E62)</f>
        <v>0</v>
      </c>
      <c r="G62" s="17">
        <f>SUMIFS('ریز گزارش ارزی'!$AD$8:$AD$9818,'ریز گزارش ارزی'!$AD$8:$AD$9818,"&gt;0",'ریز گزارش ارزی'!$AF$8:$AF$9818,"5",'ریز گزارش ارزی'!$H$8:$H$9818,B62,'ریز گزارش ارزی'!$F$8:$F$9818,C62,'ریز گزارش ارزی'!$G$8:$G$9818,E62)</f>
        <v>0</v>
      </c>
      <c r="I62" s="147" t="s">
        <v>157</v>
      </c>
      <c r="J62" s="22" t="s">
        <v>4</v>
      </c>
      <c r="K62" s="15" t="s">
        <v>12</v>
      </c>
      <c r="L62" s="16" t="s">
        <v>7</v>
      </c>
      <c r="M62" s="17">
        <f>SUMIFS('ریز گزارش ارزی'!$V$8:$V$9818,'ریز گزارش ارزی'!$V$8:$V$9818,"&gt;0",'ریز گزارش ارزی'!$H$8:$H$9818,I62)+SUMIFS('ریز گزارش ارزی'!$AM$8:$AM$9818,'ریز گزارش ارزی'!$AM$8:$AM$9818,"&gt;0",'ریز گزارش ارزی'!$H$8:$H$9818,I62)+SUMIFS('ریز گزارش ارزی'!$AC$8:$AC$9818,'ریز گزارش ارزی'!$AC$8:$AC$9818,"&gt;0",'ریز گزارش ارزی'!$AF$8:$AF$9818,"3",'ریز گزارش ارزی'!$H$8:$H$9818,I62,'ریز گزارش ارزی'!$F$8:$F$9818,J62,'ریز گزارش ارزی'!$G$8:$G$9818,L62)-SUMIFS('ریز گزارش ارزی'!AD9:AD9819,'ریز گزارش ارزی'!AD9:AD9819,"&gt;0",'ریز گزارش ارزی'!$AF$8:$AF$9818,"3",'ریز گزارش ارزی'!$H$8:$H$9818,I62,'ریز گزارش ارزی'!$F$8:$F$9818,J62,'ریز گزارش ارزی'!$G$8:$G$9818,L62)</f>
        <v>124.79999999999995</v>
      </c>
      <c r="N62" s="17"/>
    </row>
    <row r="63" spans="2:14">
      <c r="B63" s="147" t="s">
        <v>38</v>
      </c>
      <c r="C63" s="14" t="s">
        <v>148</v>
      </c>
      <c r="D63" s="15" t="s">
        <v>84</v>
      </c>
      <c r="E63" s="16" t="s">
        <v>3</v>
      </c>
      <c r="F63" s="17">
        <f>SUMIFS('ریز گزارش ارزی'!$AC$8:$AC$9818,'ریز گزارش ارزی'!$AC$8:$AC$9818,"&gt;0",'ریز گزارش ارزی'!$AF$8:$AF$9818,"5",'ریز گزارش ارزی'!$H$8:$H$9818,B63,'ریز گزارش ارزی'!$F$8:$F$9818,C63,'ریز گزارش ارزی'!$G$8:$G$9818,E63)</f>
        <v>0</v>
      </c>
      <c r="G63" s="17">
        <f>SUMIFS('ریز گزارش ارزی'!$AD$8:$AD$9818,'ریز گزارش ارزی'!$AD$8:$AD$9818,"&gt;0",'ریز گزارش ارزی'!$AF$8:$AF$9818,"5",'ریز گزارش ارزی'!$H$8:$H$9818,B63,'ریز گزارش ارزی'!$F$8:$F$9818,C63,'ریز گزارش ارزی'!$G$8:$G$9818,E63)</f>
        <v>0</v>
      </c>
      <c r="I63" s="153" t="s">
        <v>158</v>
      </c>
      <c r="J63" s="22" t="s">
        <v>4</v>
      </c>
      <c r="K63" s="15" t="s">
        <v>12</v>
      </c>
      <c r="L63" s="16" t="s">
        <v>7</v>
      </c>
      <c r="M63" s="17">
        <f>SUMIFS('ریز گزارش ارزی'!$V$8:$V$9818,'ریز گزارش ارزی'!$V$8:$V$9818,"&gt;0",'ریز گزارش ارزی'!$H$8:$H$9818,I63)+SUMIFS('ریز گزارش ارزی'!$AM$8:$AM$9818,'ریز گزارش ارزی'!$AM$8:$AM$9818,"&gt;0",'ریز گزارش ارزی'!$H$8:$H$9818,I63)+SUMIFS('ریز گزارش ارزی'!$AC$8:$AC$9818,'ریز گزارش ارزی'!$AC$8:$AC$9818,"&gt;0",'ریز گزارش ارزی'!$AF$8:$AF$9818,"3",'ریز گزارش ارزی'!$H$8:$H$9818,I63,'ریز گزارش ارزی'!$F$8:$F$9818,J63,'ریز گزارش ارزی'!$G$8:$G$9818,L63)-SUMIFS('ریز گزارش ارزی'!AD10:AD9820,'ریز گزارش ارزی'!AD10:AD9820,"&gt;0",'ریز گزارش ارزی'!$AF$8:$AF$9818,"3",'ریز گزارش ارزی'!$H$8:$H$9818,I63,'ریز گزارش ارزی'!$F$8:$F$9818,J63,'ریز گزارش ارزی'!$G$8:$G$9818,L63)</f>
        <v>48.100000000000023</v>
      </c>
      <c r="N63" s="17"/>
    </row>
    <row r="64" spans="2:14">
      <c r="B64" s="147" t="s">
        <v>38</v>
      </c>
      <c r="C64" s="14" t="s">
        <v>148</v>
      </c>
      <c r="D64" s="15" t="s">
        <v>84</v>
      </c>
      <c r="E64" s="16" t="s">
        <v>9</v>
      </c>
      <c r="F64" s="17">
        <f>SUMIFS('ریز گزارش ارزی'!$AC$8:$AC$9818,'ریز گزارش ارزی'!$AC$8:$AC$9818,"&gt;0",'ریز گزارش ارزی'!$AF$8:$AF$9818,"5",'ریز گزارش ارزی'!$H$8:$H$9818,B64,'ریز گزارش ارزی'!$F$8:$F$9818,C64,'ریز گزارش ارزی'!$G$8:$G$9818,E64)</f>
        <v>0</v>
      </c>
      <c r="G64" s="17">
        <f>SUMIFS('ریز گزارش ارزی'!$AD$8:$AD$9818,'ریز گزارش ارزی'!$AD$8:$AD$9818,"&gt;0",'ریز گزارش ارزی'!$AF$8:$AF$9818,"5",'ریز گزارش ارزی'!$H$8:$H$9818,B64,'ریز گزارش ارزی'!$F$8:$F$9818,C64,'ریز گزارش ارزی'!$G$8:$G$9818,E64)</f>
        <v>0</v>
      </c>
      <c r="I64" s="151" t="s">
        <v>38</v>
      </c>
      <c r="J64" s="18" t="s">
        <v>148</v>
      </c>
      <c r="K64" s="19" t="s">
        <v>24</v>
      </c>
      <c r="L64" s="20"/>
      <c r="M64" s="160">
        <f>SUMIFS('ریز گزارش ارزی'!AD8:AD9822,'ریز گزارش ارزی'!AD8:AD9822,"&gt;0",'ریز گزارش ارزی'!$H$8:$H$9822,I64,'ریز گزارش ارزی'!$F$8:$F$9822,J64,'ریز گزارش ارزی'!AG8:AG9822,K64)</f>
        <v>0</v>
      </c>
      <c r="N64" s="21">
        <v>0</v>
      </c>
    </row>
    <row r="65" spans="2:15">
      <c r="B65" s="147" t="s">
        <v>38</v>
      </c>
      <c r="C65" s="14" t="s">
        <v>148</v>
      </c>
      <c r="D65" s="15" t="s">
        <v>84</v>
      </c>
      <c r="E65" s="16" t="s">
        <v>14</v>
      </c>
      <c r="F65" s="17">
        <f>SUMIFS('ریز گزارش ارزی'!$AC$8:$AC$9818,'ریز گزارش ارزی'!$AC$8:$AC$9818,"&gt;0",'ریز گزارش ارزی'!$AF$8:$AF$9818,"5",'ریز گزارش ارزی'!$H$8:$H$9818,B65,'ریز گزارش ارزی'!$F$8:$F$9818,C65,'ریز گزارش ارزی'!$G$8:$G$9818,E65)</f>
        <v>0</v>
      </c>
      <c r="G65" s="17">
        <f>SUMIFS('ریز گزارش ارزی'!$AD$8:$AD$9818,'ریز گزارش ارزی'!$AD$8:$AD$9818,"&gt;0",'ریز گزارش ارزی'!$AF$8:$AF$9818,"5",'ریز گزارش ارزی'!$H$8:$H$9818,B65,'ریز گزارش ارزی'!$F$8:$F$9818,C65,'ریز گزارش ارزی'!$G$8:$G$9818,E65)</f>
        <v>0</v>
      </c>
      <c r="I65" s="151" t="s">
        <v>37</v>
      </c>
      <c r="J65" s="18" t="s">
        <v>148</v>
      </c>
      <c r="K65" s="19" t="s">
        <v>24</v>
      </c>
      <c r="L65" s="20"/>
      <c r="M65" s="160">
        <f>SUMIFS('ریز گزارش ارزی'!AD8:AD9822,'ریز گزارش ارزی'!AD8:AD9822,"&gt;0",'ریز گزارش ارزی'!$H$8:$H$9822,I65,'ریز گزارش ارزی'!$F$8:$F$9822,J65,'ریز گزارش ارزی'!AG8:AG9822,K65)</f>
        <v>212</v>
      </c>
      <c r="N65" s="21">
        <v>0</v>
      </c>
      <c r="O65" s="159"/>
    </row>
    <row r="66" spans="2:15">
      <c r="B66" s="147" t="s">
        <v>38</v>
      </c>
      <c r="C66" s="14" t="s">
        <v>148</v>
      </c>
      <c r="D66" s="15" t="s">
        <v>84</v>
      </c>
      <c r="E66" s="16" t="s">
        <v>5</v>
      </c>
      <c r="F66" s="17">
        <f>SUMIFS('ریز گزارش ارزی'!$AC$8:$AC$9818,'ریز گزارش ارزی'!$AC$8:$AC$9818,"&gt;0",'ریز گزارش ارزی'!$AF$8:$AF$9818,"5",'ریز گزارش ارزی'!$H$8:$H$9818,B66,'ریز گزارش ارزی'!$F$8:$F$9818,C66,'ریز گزارش ارزی'!$G$8:$G$9818,E66)</f>
        <v>0</v>
      </c>
      <c r="G66" s="17">
        <f>SUMIFS('ریز گزارش ارزی'!$AD$8:$AD$9818,'ریز گزارش ارزی'!$AD$8:$AD$9818,"&gt;0",'ریز گزارش ارزی'!$AF$8:$AF$9818,"5",'ریز گزارش ارزی'!$H$8:$H$9818,B66,'ریز گزارش ارزی'!$F$8:$F$9818,C66,'ریز گزارش ارزی'!$G$8:$G$9818,E66)</f>
        <v>0</v>
      </c>
      <c r="I66" s="151" t="s">
        <v>157</v>
      </c>
      <c r="J66" s="18" t="s">
        <v>148</v>
      </c>
      <c r="K66" s="19" t="s">
        <v>24</v>
      </c>
      <c r="L66" s="20"/>
      <c r="M66" s="160">
        <f>SUMIFS('ریز گزارش ارزی'!AD8:AD9822,'ریز گزارش ارزی'!AD8:AD9822,"&gt;0",'ریز گزارش ارزی'!$H$8:$H$9822,I66,'ریز گزارش ارزی'!$F$8:$F$9822,J66,'ریز گزارش ارزی'!AG8:AG9822,K66)</f>
        <v>0</v>
      </c>
      <c r="N66" s="21">
        <v>0</v>
      </c>
      <c r="O66" s="159"/>
    </row>
    <row r="67" spans="2:15">
      <c r="B67" s="18" t="s">
        <v>37</v>
      </c>
      <c r="C67" s="14" t="s">
        <v>148</v>
      </c>
      <c r="D67" s="19" t="s">
        <v>84</v>
      </c>
      <c r="E67" s="148" t="s">
        <v>6</v>
      </c>
      <c r="F67" s="21">
        <f>SUMIFS('ریز گزارش ارزی'!$AC$8:$AC$9818,'ریز گزارش ارزی'!$AC$8:$AC$9818,"&gt;0",'ریز گزارش ارزی'!$AF$8:$AF$9818,"5",'ریز گزارش ارزی'!$H$8:$H$9818,B67,'ریز گزارش ارزی'!$F$8:$F$9818,C67,'ریز گزارش ارزی'!$G$8:$G$9818,E67)</f>
        <v>0</v>
      </c>
      <c r="G67" s="21">
        <f>SUMIFS('ریز گزارش ارزی'!$AD$8:$AD$9818,'ریز گزارش ارزی'!$AD$8:$AD$9818,"&gt;0",'ریز گزارش ارزی'!$AF$8:$AF$9818,"5",'ریز گزارش ارزی'!$H$8:$H$9818,B67,'ریز گزارش ارزی'!$F$8:$F$9818,C67,'ریز گزارش ارزی'!$G$8:$G$9818,E67)</f>
        <v>0</v>
      </c>
      <c r="I67" s="152" t="s">
        <v>158</v>
      </c>
      <c r="J67" s="18" t="s">
        <v>148</v>
      </c>
      <c r="K67" s="19" t="s">
        <v>24</v>
      </c>
      <c r="L67" s="20"/>
      <c r="M67" s="160">
        <f>SUMIFS('ریز گزارش ارزی'!AD8:AD9822,'ریز گزارش ارزی'!AD8:AD9822,"&gt;0",'ریز گزارش ارزی'!$H$8:$H$9822,I67,'ریز گزارش ارزی'!$F$8:$F$9822,J67,'ریز گزارش ارزی'!AG8:AG9822,K67)</f>
        <v>0</v>
      </c>
      <c r="N67" s="21">
        <v>0</v>
      </c>
    </row>
    <row r="68" spans="2:15">
      <c r="B68" s="18" t="s">
        <v>37</v>
      </c>
      <c r="C68" s="14" t="s">
        <v>148</v>
      </c>
      <c r="D68" s="19" t="s">
        <v>84</v>
      </c>
      <c r="E68" s="148" t="s">
        <v>0</v>
      </c>
      <c r="F68" s="21">
        <f>SUMIFS('ریز گزارش ارزی'!$AC$8:$AC$9818,'ریز گزارش ارزی'!$AC$8:$AC$9818,"&gt;0",'ریز گزارش ارزی'!$AF$8:$AF$9818,"5",'ریز گزارش ارزی'!$H$8:$H$9818,B68,'ریز گزارش ارزی'!$F$8:$F$9818,C68,'ریز گزارش ارزی'!$G$8:$G$9818,E68)</f>
        <v>0</v>
      </c>
      <c r="G68" s="21">
        <f>SUMIFS('ریز گزارش ارزی'!$AD$8:$AD$9818,'ریز گزارش ارزی'!$AD$8:$AD$9818,"&gt;0",'ریز گزارش ارزی'!$AF$8:$AF$9818,"5",'ریز گزارش ارزی'!$H$8:$H$9818,B68,'ریز گزارش ارزی'!$F$8:$F$9818,C68,'ریز گزارش ارزی'!$G$8:$G$9818,E68)</f>
        <v>68</v>
      </c>
      <c r="I68" s="147" t="s">
        <v>38</v>
      </c>
      <c r="J68" s="147" t="s">
        <v>156</v>
      </c>
      <c r="K68" s="15" t="s">
        <v>24</v>
      </c>
      <c r="L68" s="16"/>
      <c r="M68" s="17">
        <f>SUMIFS('ریز گزارش ارزی'!AD8:AD9822,'ریز گزارش ارزی'!AD8:AD9822,"&gt;0",'ریز گزارش ارزی'!$H$8:$H$9822,I68,'ریز گزارش ارزی'!$F$8:$F$9822,J68,'ریز گزارش ارزی'!AG8:AG9822,K68)</f>
        <v>0</v>
      </c>
      <c r="N68" s="17">
        <v>0</v>
      </c>
    </row>
    <row r="69" spans="2:15">
      <c r="B69" s="18" t="s">
        <v>37</v>
      </c>
      <c r="C69" s="14" t="s">
        <v>148</v>
      </c>
      <c r="D69" s="19" t="s">
        <v>84</v>
      </c>
      <c r="E69" s="148" t="s">
        <v>1</v>
      </c>
      <c r="F69" s="21">
        <f>SUMIFS('ریز گزارش ارزی'!$AC$8:$AC$9818,'ریز گزارش ارزی'!$AC$8:$AC$9818,"&gt;0",'ریز گزارش ارزی'!$AF$8:$AF$9818,"5",'ریز گزارش ارزی'!$H$8:$H$9818,B69,'ریز گزارش ارزی'!$F$8:$F$9818,C69,'ریز گزارش ارزی'!$G$8:$G$9818,E69)</f>
        <v>0</v>
      </c>
      <c r="G69" s="21">
        <f>SUMIFS('ریز گزارش ارزی'!$AD$8:$AD$9818,'ریز گزارش ارزی'!$AD$8:$AD$9818,"&gt;0",'ریز گزارش ارزی'!$AF$8:$AF$9818,"5",'ریز گزارش ارزی'!$H$8:$H$9818,B69,'ریز گزارش ارزی'!$F$8:$F$9818,C69,'ریز گزارش ارزی'!$G$8:$G$9818,E69)</f>
        <v>0</v>
      </c>
      <c r="I69" s="147" t="s">
        <v>37</v>
      </c>
      <c r="J69" s="147" t="s">
        <v>156</v>
      </c>
      <c r="K69" s="15" t="s">
        <v>24</v>
      </c>
      <c r="L69" s="16"/>
      <c r="M69" s="17">
        <f>SUMIFS('ریز گزارش ارزی'!AD8:AD9822,'ریز گزارش ارزی'!AD8:AD9822,"&gt;0",'ریز گزارش ارزی'!$H$8:$H$9822,I69,'ریز گزارش ارزی'!$F$8:$F$9822,J69,'ریز گزارش ارزی'!AG8:AG9822,K69)</f>
        <v>45</v>
      </c>
      <c r="N69" s="17">
        <v>0</v>
      </c>
    </row>
    <row r="70" spans="2:15">
      <c r="B70" s="18" t="s">
        <v>37</v>
      </c>
      <c r="C70" s="14" t="s">
        <v>148</v>
      </c>
      <c r="D70" s="19" t="s">
        <v>84</v>
      </c>
      <c r="E70" s="148" t="s">
        <v>3</v>
      </c>
      <c r="F70" s="21">
        <f>SUMIFS('ریز گزارش ارزی'!$AC$8:$AC$9818,'ریز گزارش ارزی'!$AC$8:$AC$9818,"&gt;0",'ریز گزارش ارزی'!$AF$8:$AF$9818,"5",'ریز گزارش ارزی'!$H$8:$H$9818,B70,'ریز گزارش ارزی'!$F$8:$F$9818,C70,'ریز گزارش ارزی'!$G$8:$G$9818,E70)</f>
        <v>0</v>
      </c>
      <c r="G70" s="21">
        <f>SUMIFS('ریز گزارش ارزی'!$AD$8:$AD$9818,'ریز گزارش ارزی'!$AD$8:$AD$9818,"&gt;0",'ریز گزارش ارزی'!$AF$8:$AF$9818,"5",'ریز گزارش ارزی'!$H$8:$H$9818,B70,'ریز گزارش ارزی'!$F$8:$F$9818,C70,'ریز گزارش ارزی'!$G$8:$G$9818,E70)</f>
        <v>0</v>
      </c>
      <c r="I70" s="147" t="s">
        <v>157</v>
      </c>
      <c r="J70" s="147" t="s">
        <v>156</v>
      </c>
      <c r="K70" s="15" t="s">
        <v>24</v>
      </c>
      <c r="L70" s="16"/>
      <c r="M70" s="17">
        <f>SUMIFS('ریز گزارش ارزی'!AD8:AD9822,'ریز گزارش ارزی'!AD8:AD9822,"&gt;0",'ریز گزارش ارزی'!$H$8:$H$9822,I70,'ریز گزارش ارزی'!$F$8:$F$9822,J70,'ریز گزارش ارزی'!AG8:AG9822,K70)</f>
        <v>0</v>
      </c>
      <c r="N70" s="17">
        <v>0</v>
      </c>
    </row>
    <row r="71" spans="2:15">
      <c r="B71" s="18" t="s">
        <v>37</v>
      </c>
      <c r="C71" s="14" t="s">
        <v>148</v>
      </c>
      <c r="D71" s="19" t="s">
        <v>84</v>
      </c>
      <c r="E71" s="148" t="s">
        <v>9</v>
      </c>
      <c r="F71" s="21">
        <f>SUMIFS('ریز گزارش ارزی'!$AC$8:$AC$9818,'ریز گزارش ارزی'!$AC$8:$AC$9818,"&gt;0",'ریز گزارش ارزی'!$AF$8:$AF$9818,"5",'ریز گزارش ارزی'!$H$8:$H$9818,B71,'ریز گزارش ارزی'!$F$8:$F$9818,C71,'ریز گزارش ارزی'!$G$8:$G$9818,E71)</f>
        <v>68</v>
      </c>
      <c r="G71" s="21">
        <f>SUMIFS('ریز گزارش ارزی'!$AD$8:$AD$9818,'ریز گزارش ارزی'!$AD$8:$AD$9818,"&gt;0",'ریز گزارش ارزی'!$AF$8:$AF$9818,"5",'ریز گزارش ارزی'!$H$8:$H$9818,B71,'ریز گزارش ارزی'!$F$8:$F$9818,C71,'ریز گزارش ارزی'!$G$8:$G$9818,E71)</f>
        <v>0</v>
      </c>
      <c r="I71" s="153" t="s">
        <v>158</v>
      </c>
      <c r="J71" s="147" t="s">
        <v>156</v>
      </c>
      <c r="K71" s="15" t="s">
        <v>24</v>
      </c>
      <c r="L71" s="16"/>
      <c r="M71" s="17">
        <f>SUMIFS('ریز گزارش ارزی'!AD8:AD9822,'ریز گزارش ارزی'!AD8:AD9822,"&gt;0",'ریز گزارش ارزی'!$H$8:$H$9822,I71,'ریز گزارش ارزی'!$F$8:$F$9822,J71,'ریز گزارش ارزی'!AG8:AG9822,K71)</f>
        <v>0</v>
      </c>
      <c r="N71" s="17">
        <v>0</v>
      </c>
    </row>
    <row r="72" spans="2:15">
      <c r="B72" s="18" t="s">
        <v>37</v>
      </c>
      <c r="C72" s="14" t="s">
        <v>148</v>
      </c>
      <c r="D72" s="19" t="s">
        <v>84</v>
      </c>
      <c r="E72" s="148" t="s">
        <v>14</v>
      </c>
      <c r="F72" s="21">
        <f>SUMIFS('ریز گزارش ارزی'!$AC$8:$AC$9818,'ریز گزارش ارزی'!$AC$8:$AC$9818,"&gt;0",'ریز گزارش ارزی'!$AF$8:$AF$9818,"5",'ریز گزارش ارزی'!$H$8:$H$9818,B72,'ریز گزارش ارزی'!$F$8:$F$9818,C72,'ریز گزارش ارزی'!$G$8:$G$9818,E72)</f>
        <v>0</v>
      </c>
      <c r="G72" s="21">
        <f>SUMIFS('ریز گزارش ارزی'!$AD$8:$AD$9818,'ریز گزارش ارزی'!$AD$8:$AD$9818,"&gt;0",'ریز گزارش ارزی'!$AF$8:$AF$9818,"5",'ریز گزارش ارزی'!$H$8:$H$9818,B72,'ریز گزارش ارزی'!$F$8:$F$9818,C72,'ریز گزارش ارزی'!$G$8:$G$9818,E72)</f>
        <v>0</v>
      </c>
      <c r="M72" s="159"/>
    </row>
    <row r="73" spans="2:15">
      <c r="B73" s="18" t="s">
        <v>37</v>
      </c>
      <c r="C73" s="14" t="s">
        <v>148</v>
      </c>
      <c r="D73" s="19" t="s">
        <v>84</v>
      </c>
      <c r="E73" s="148" t="s">
        <v>5</v>
      </c>
      <c r="F73" s="21">
        <f>SUMIFS('ریز گزارش ارزی'!$AC$8:$AC$9818,'ریز گزارش ارزی'!$AC$8:$AC$9818,"&gt;0",'ریز گزارش ارزی'!$AF$8:$AF$9818,"5",'ریز گزارش ارزی'!$H$8:$H$9818,B73,'ریز گزارش ارزی'!$F$8:$F$9818,C73,'ریز گزارش ارزی'!$G$8:$G$9818,E73)</f>
        <v>0</v>
      </c>
      <c r="G73" s="21">
        <f>SUMIFS('ریز گزارش ارزی'!$AD$8:$AD$9818,'ریز گزارش ارزی'!$AD$8:$AD$9818,"&gt;0",'ریز گزارش ارزی'!$AF$8:$AF$9818,"5",'ریز گزارش ارزی'!$H$8:$H$9818,B73,'ریز گزارش ارزی'!$F$8:$F$9818,C73,'ریز گزارش ارزی'!$G$8:$G$9818,E73)</f>
        <v>0</v>
      </c>
    </row>
    <row r="74" spans="2:15">
      <c r="B74" s="147" t="s">
        <v>157</v>
      </c>
      <c r="C74" s="14" t="s">
        <v>148</v>
      </c>
      <c r="D74" s="15" t="s">
        <v>84</v>
      </c>
      <c r="E74" s="16" t="s">
        <v>6</v>
      </c>
      <c r="F74" s="17">
        <f>SUMIFS('ریز گزارش ارزی'!$AC$8:$AC$9818,'ریز گزارش ارزی'!$AC$8:$AC$9818,"&gt;0",'ریز گزارش ارزی'!$AF$8:$AF$9818,"5",'ریز گزارش ارزی'!$H$8:$H$9818,B74,'ریز گزارش ارزی'!$F$8:$F$9818,C74,'ریز گزارش ارزی'!$G$8:$G$9818,E74)</f>
        <v>0</v>
      </c>
      <c r="G74" s="17">
        <f>SUMIFS('ریز گزارش ارزی'!$AD$8:$AD$9818,'ریز گزارش ارزی'!$AD$8:$AD$9818,"&gt;0",'ریز گزارش ارزی'!$AF$8:$AF$9818,"5",'ریز گزارش ارزی'!$H$8:$H$9818,B74,'ریز گزارش ارزی'!$F$8:$F$9818,C74,'ریز گزارش ارزی'!$G$8:$G$9818,E74)</f>
        <v>0</v>
      </c>
    </row>
    <row r="75" spans="2:15">
      <c r="B75" s="147" t="s">
        <v>157</v>
      </c>
      <c r="C75" s="14" t="s">
        <v>148</v>
      </c>
      <c r="D75" s="15" t="s">
        <v>84</v>
      </c>
      <c r="E75" s="16" t="s">
        <v>0</v>
      </c>
      <c r="F75" s="17">
        <f>SUMIFS('ریز گزارش ارزی'!$AC$8:$AC$9818,'ریز گزارش ارزی'!$AC$8:$AC$9818,"&gt;0",'ریز گزارش ارزی'!$AF$8:$AF$9818,"5",'ریز گزارش ارزی'!$H$8:$H$9818,B75,'ریز گزارش ارزی'!$F$8:$F$9818,C75,'ریز گزارش ارزی'!$G$8:$G$9818,E75)</f>
        <v>0</v>
      </c>
      <c r="G75" s="17">
        <f>SUMIFS('ریز گزارش ارزی'!$AD$8:$AD$9818,'ریز گزارش ارزی'!$AD$8:$AD$9818,"&gt;0",'ریز گزارش ارزی'!$AF$8:$AF$9818,"5",'ریز گزارش ارزی'!$H$8:$H$9818,B75,'ریز گزارش ارزی'!$F$8:$F$9818,C75,'ریز گزارش ارزی'!$G$8:$G$9818,E75)</f>
        <v>0</v>
      </c>
    </row>
    <row r="76" spans="2:15">
      <c r="B76" s="147" t="s">
        <v>157</v>
      </c>
      <c r="C76" s="14" t="s">
        <v>148</v>
      </c>
      <c r="D76" s="15" t="s">
        <v>84</v>
      </c>
      <c r="E76" s="16" t="s">
        <v>1</v>
      </c>
      <c r="F76" s="17">
        <f>SUMIFS('ریز گزارش ارزی'!$AC$8:$AC$9818,'ریز گزارش ارزی'!$AC$8:$AC$9818,"&gt;0",'ریز گزارش ارزی'!$AF$8:$AF$9818,"5",'ریز گزارش ارزی'!$H$8:$H$9818,B76,'ریز گزارش ارزی'!$F$8:$F$9818,C76,'ریز گزارش ارزی'!$G$8:$G$9818,E76)</f>
        <v>0</v>
      </c>
      <c r="G76" s="17">
        <f>SUMIFS('ریز گزارش ارزی'!$AD$8:$AD$9818,'ریز گزارش ارزی'!$AD$8:$AD$9818,"&gt;0",'ریز گزارش ارزی'!$AF$8:$AF$9818,"5",'ریز گزارش ارزی'!$H$8:$H$9818,B76,'ریز گزارش ارزی'!$F$8:$F$9818,C76,'ریز گزارش ارزی'!$G$8:$G$9818,E76)</f>
        <v>0</v>
      </c>
    </row>
    <row r="77" spans="2:15">
      <c r="B77" s="147" t="s">
        <v>157</v>
      </c>
      <c r="C77" s="14" t="s">
        <v>148</v>
      </c>
      <c r="D77" s="15" t="s">
        <v>84</v>
      </c>
      <c r="E77" s="16" t="s">
        <v>3</v>
      </c>
      <c r="F77" s="17">
        <f>SUMIFS('ریز گزارش ارزی'!$AC$8:$AC$9818,'ریز گزارش ارزی'!$AC$8:$AC$9818,"&gt;0",'ریز گزارش ارزی'!$AF$8:$AF$9818,"5",'ریز گزارش ارزی'!$H$8:$H$9818,B77,'ریز گزارش ارزی'!$F$8:$F$9818,C77,'ریز گزارش ارزی'!$G$8:$G$9818,E77)</f>
        <v>0</v>
      </c>
      <c r="G77" s="17">
        <f>SUMIFS('ریز گزارش ارزی'!$AD$8:$AD$9818,'ریز گزارش ارزی'!$AD$8:$AD$9818,"&gt;0",'ریز گزارش ارزی'!$AF$8:$AF$9818,"5",'ریز گزارش ارزی'!$H$8:$H$9818,B77,'ریز گزارش ارزی'!$F$8:$F$9818,C77,'ریز گزارش ارزی'!$G$8:$G$9818,E77)</f>
        <v>0</v>
      </c>
    </row>
    <row r="78" spans="2:15">
      <c r="B78" s="147" t="s">
        <v>157</v>
      </c>
      <c r="C78" s="14" t="s">
        <v>148</v>
      </c>
      <c r="D78" s="15" t="s">
        <v>84</v>
      </c>
      <c r="E78" s="16" t="s">
        <v>9</v>
      </c>
      <c r="F78" s="17">
        <f>SUMIFS('ریز گزارش ارزی'!$AC$8:$AC$9818,'ریز گزارش ارزی'!$AC$8:$AC$9818,"&gt;0",'ریز گزارش ارزی'!$AF$8:$AF$9818,"5",'ریز گزارش ارزی'!$H$8:$H$9818,B78,'ریز گزارش ارزی'!$F$8:$F$9818,C78,'ریز گزارش ارزی'!$G$8:$G$9818,E78)</f>
        <v>0</v>
      </c>
      <c r="G78" s="17">
        <f>SUMIFS('ریز گزارش ارزی'!$AD$8:$AD$9818,'ریز گزارش ارزی'!$AD$8:$AD$9818,"&gt;0",'ریز گزارش ارزی'!$AF$8:$AF$9818,"5",'ریز گزارش ارزی'!$H$8:$H$9818,B78,'ریز گزارش ارزی'!$F$8:$F$9818,C78,'ریز گزارش ارزی'!$G$8:$G$9818,E78)</f>
        <v>0</v>
      </c>
    </row>
    <row r="79" spans="2:15">
      <c r="B79" s="147" t="s">
        <v>157</v>
      </c>
      <c r="C79" s="14" t="s">
        <v>148</v>
      </c>
      <c r="D79" s="15" t="s">
        <v>84</v>
      </c>
      <c r="E79" s="16" t="s">
        <v>14</v>
      </c>
      <c r="F79" s="17">
        <f>SUMIFS('ریز گزارش ارزی'!$AC$8:$AC$9818,'ریز گزارش ارزی'!$AC$8:$AC$9818,"&gt;0",'ریز گزارش ارزی'!$AF$8:$AF$9818,"5",'ریز گزارش ارزی'!$H$8:$H$9818,B79,'ریز گزارش ارزی'!$F$8:$F$9818,C79,'ریز گزارش ارزی'!$G$8:$G$9818,E79)</f>
        <v>0</v>
      </c>
      <c r="G79" s="17">
        <f>SUMIFS('ریز گزارش ارزی'!$AD$8:$AD$9818,'ریز گزارش ارزی'!$AD$8:$AD$9818,"&gt;0",'ریز گزارش ارزی'!$AF$8:$AF$9818,"5",'ریز گزارش ارزی'!$H$8:$H$9818,B79,'ریز گزارش ارزی'!$F$8:$F$9818,C79,'ریز گزارش ارزی'!$G$8:$G$9818,E79)</f>
        <v>0</v>
      </c>
    </row>
    <row r="80" spans="2:15">
      <c r="B80" s="147" t="s">
        <v>157</v>
      </c>
      <c r="C80" s="14" t="s">
        <v>148</v>
      </c>
      <c r="D80" s="15" t="s">
        <v>84</v>
      </c>
      <c r="E80" s="16" t="s">
        <v>5</v>
      </c>
      <c r="F80" s="17">
        <f>SUMIFS('ریز گزارش ارزی'!$AC$8:$AC$9818,'ریز گزارش ارزی'!$AC$8:$AC$9818,"&gt;0",'ریز گزارش ارزی'!$AF$8:$AF$9818,"5",'ریز گزارش ارزی'!$H$8:$H$9818,B80,'ریز گزارش ارزی'!$F$8:$F$9818,C80,'ریز گزارش ارزی'!$G$8:$G$9818,E80)</f>
        <v>0</v>
      </c>
      <c r="G80" s="17">
        <f>SUMIFS('ریز گزارش ارزی'!$AD$8:$AD$9818,'ریز گزارش ارزی'!$AD$8:$AD$9818,"&gt;0",'ریز گزارش ارزی'!$AF$8:$AF$9818,"5",'ریز گزارش ارزی'!$H$8:$H$9818,B80,'ریز گزارش ارزی'!$F$8:$F$9818,C80,'ریز گزارش ارزی'!$G$8:$G$9818,E80)</f>
        <v>0</v>
      </c>
    </row>
    <row r="81" spans="2:7">
      <c r="B81" s="150" t="s">
        <v>158</v>
      </c>
      <c r="C81" s="14" t="s">
        <v>148</v>
      </c>
      <c r="D81" s="19" t="s">
        <v>84</v>
      </c>
      <c r="E81" s="148" t="s">
        <v>6</v>
      </c>
      <c r="F81" s="21">
        <f>SUMIFS('ریز گزارش ارزی'!$AC$8:$AC$9818,'ریز گزارش ارزی'!$AC$8:$AC$9818,"&gt;0",'ریز گزارش ارزی'!$AF$8:$AF$9818,"5",'ریز گزارش ارزی'!$H$8:$H$9818,B81,'ریز گزارش ارزی'!$F$8:$F$9818,C81,'ریز گزارش ارزی'!$G$8:$G$9818,E81)</f>
        <v>0</v>
      </c>
      <c r="G81" s="21">
        <f>SUMIFS('ریز گزارش ارزی'!$AD$8:$AD$9818,'ریز گزارش ارزی'!$AD$8:$AD$9818,"&gt;0",'ریز گزارش ارزی'!$AF$8:$AF$9818,"5",'ریز گزارش ارزی'!$H$8:$H$9818,B81,'ریز گزارش ارزی'!$F$8:$F$9818,C81,'ریز گزارش ارزی'!$G$8:$G$9818,E81)</f>
        <v>0</v>
      </c>
    </row>
    <row r="82" spans="2:7">
      <c r="B82" s="150" t="s">
        <v>158</v>
      </c>
      <c r="C82" s="14" t="s">
        <v>148</v>
      </c>
      <c r="D82" s="19" t="s">
        <v>84</v>
      </c>
      <c r="E82" s="148" t="s">
        <v>0</v>
      </c>
      <c r="F82" s="21">
        <f>SUMIFS('ریز گزارش ارزی'!$AC$8:$AC$9818,'ریز گزارش ارزی'!$AC$8:$AC$9818,"&gt;0",'ریز گزارش ارزی'!$AF$8:$AF$9818,"5",'ریز گزارش ارزی'!$H$8:$H$9818,B82,'ریز گزارش ارزی'!$F$8:$F$9818,C82,'ریز گزارش ارزی'!$G$8:$G$9818,E82)</f>
        <v>0</v>
      </c>
      <c r="G82" s="21">
        <f>SUMIFS('ریز گزارش ارزی'!$AD$8:$AD$9818,'ریز گزارش ارزی'!$AD$8:$AD$9818,"&gt;0",'ریز گزارش ارزی'!$AF$8:$AF$9818,"5",'ریز گزارش ارزی'!$H$8:$H$9818,B82,'ریز گزارش ارزی'!$F$8:$F$9818,C82,'ریز گزارش ارزی'!$G$8:$G$9818,E82)</f>
        <v>0</v>
      </c>
    </row>
    <row r="83" spans="2:7">
      <c r="B83" s="150" t="s">
        <v>158</v>
      </c>
      <c r="C83" s="14" t="s">
        <v>148</v>
      </c>
      <c r="D83" s="19" t="s">
        <v>84</v>
      </c>
      <c r="E83" s="148" t="s">
        <v>1</v>
      </c>
      <c r="F83" s="21">
        <f>SUMIFS('ریز گزارش ارزی'!$AC$8:$AC$9818,'ریز گزارش ارزی'!$AC$8:$AC$9818,"&gt;0",'ریز گزارش ارزی'!$AF$8:$AF$9818,"5",'ریز گزارش ارزی'!$H$8:$H$9818,B83,'ریز گزارش ارزی'!$F$8:$F$9818,C83,'ریز گزارش ارزی'!$G$8:$G$9818,E83)</f>
        <v>0</v>
      </c>
      <c r="G83" s="21">
        <f>SUMIFS('ریز گزارش ارزی'!$AD$8:$AD$9818,'ریز گزارش ارزی'!$AD$8:$AD$9818,"&gt;0",'ریز گزارش ارزی'!$AF$8:$AF$9818,"5",'ریز گزارش ارزی'!$H$8:$H$9818,B83,'ریز گزارش ارزی'!$F$8:$F$9818,C83,'ریز گزارش ارزی'!$G$8:$G$9818,E83)</f>
        <v>0</v>
      </c>
    </row>
    <row r="84" spans="2:7">
      <c r="B84" s="150" t="s">
        <v>158</v>
      </c>
      <c r="C84" s="14" t="s">
        <v>148</v>
      </c>
      <c r="D84" s="19" t="s">
        <v>84</v>
      </c>
      <c r="E84" s="148" t="s">
        <v>3</v>
      </c>
      <c r="F84" s="21">
        <f>SUMIFS('ریز گزارش ارزی'!$AC$8:$AC$9818,'ریز گزارش ارزی'!$AC$8:$AC$9818,"&gt;0",'ریز گزارش ارزی'!$AF$8:$AF$9818,"5",'ریز گزارش ارزی'!$H$8:$H$9818,B84,'ریز گزارش ارزی'!$F$8:$F$9818,C84,'ریز گزارش ارزی'!$G$8:$G$9818,E84)</f>
        <v>0</v>
      </c>
      <c r="G84" s="21">
        <f>SUMIFS('ریز گزارش ارزی'!$AD$8:$AD$9818,'ریز گزارش ارزی'!$AD$8:$AD$9818,"&gt;0",'ریز گزارش ارزی'!$AF$8:$AF$9818,"5",'ریز گزارش ارزی'!$H$8:$H$9818,B84,'ریز گزارش ارزی'!$F$8:$F$9818,C84,'ریز گزارش ارزی'!$G$8:$G$9818,E84)</f>
        <v>0</v>
      </c>
    </row>
    <row r="85" spans="2:7">
      <c r="B85" s="150" t="s">
        <v>158</v>
      </c>
      <c r="C85" s="14" t="s">
        <v>148</v>
      </c>
      <c r="D85" s="19" t="s">
        <v>84</v>
      </c>
      <c r="E85" s="148" t="s">
        <v>9</v>
      </c>
      <c r="F85" s="21">
        <f>SUMIFS('ریز گزارش ارزی'!$AC$8:$AC$9818,'ریز گزارش ارزی'!$AC$8:$AC$9818,"&gt;0",'ریز گزارش ارزی'!$AF$8:$AF$9818,"5",'ریز گزارش ارزی'!$H$8:$H$9818,B85,'ریز گزارش ارزی'!$F$8:$F$9818,C85,'ریز گزارش ارزی'!$G$8:$G$9818,E85)</f>
        <v>0</v>
      </c>
      <c r="G85" s="21">
        <f>SUMIFS('ریز گزارش ارزی'!$AD$8:$AD$9818,'ریز گزارش ارزی'!$AD$8:$AD$9818,"&gt;0",'ریز گزارش ارزی'!$AF$8:$AF$9818,"5",'ریز گزارش ارزی'!$H$8:$H$9818,B85,'ریز گزارش ارزی'!$F$8:$F$9818,C85,'ریز گزارش ارزی'!$G$8:$G$9818,E85)</f>
        <v>0</v>
      </c>
    </row>
    <row r="86" spans="2:7">
      <c r="B86" s="150" t="s">
        <v>158</v>
      </c>
      <c r="C86" s="14" t="s">
        <v>148</v>
      </c>
      <c r="D86" s="19" t="s">
        <v>84</v>
      </c>
      <c r="E86" s="148" t="s">
        <v>14</v>
      </c>
      <c r="F86" s="21">
        <f>SUMIFS('ریز گزارش ارزی'!$AC$8:$AC$9818,'ریز گزارش ارزی'!$AC$8:$AC$9818,"&gt;0",'ریز گزارش ارزی'!$AF$8:$AF$9818,"5",'ریز گزارش ارزی'!$H$8:$H$9818,B86,'ریز گزارش ارزی'!$F$8:$F$9818,C86,'ریز گزارش ارزی'!$G$8:$G$9818,E86)</f>
        <v>0</v>
      </c>
      <c r="G86" s="21">
        <f>SUMIFS('ریز گزارش ارزی'!$AD$8:$AD$9818,'ریز گزارش ارزی'!$AD$8:$AD$9818,"&gt;0",'ریز گزارش ارزی'!$AF$8:$AF$9818,"5",'ریز گزارش ارزی'!$H$8:$H$9818,B86,'ریز گزارش ارزی'!$F$8:$F$9818,C86,'ریز گزارش ارزی'!$G$8:$G$9818,E86)</f>
        <v>0</v>
      </c>
    </row>
    <row r="87" spans="2:7">
      <c r="B87" s="150" t="s">
        <v>158</v>
      </c>
      <c r="C87" s="14" t="s">
        <v>148</v>
      </c>
      <c r="D87" s="19" t="s">
        <v>84</v>
      </c>
      <c r="E87" s="148" t="s">
        <v>5</v>
      </c>
      <c r="F87" s="21">
        <f>SUMIFS('ریز گزارش ارزی'!$AC$8:$AC$9818,'ریز گزارش ارزی'!$AC$8:$AC$9818,"&gt;0",'ریز گزارش ارزی'!$AF$8:$AF$9818,"5",'ریز گزارش ارزی'!$H$8:$H$9818,B87,'ریز گزارش ارزی'!$F$8:$F$9818,C87,'ریز گزارش ارزی'!$G$8:$G$9818,E87)</f>
        <v>0</v>
      </c>
      <c r="G87" s="21">
        <f>SUMIFS('ریز گزارش ارزی'!$AD$8:$AD$9818,'ریز گزارش ارزی'!$AD$8:$AD$9818,"&gt;0",'ریز گزارش ارزی'!$AF$8:$AF$9818,"5",'ریز گزارش ارزی'!$H$8:$H$9818,B87,'ریز گزارش ارزی'!$F$8:$F$9818,C87,'ریز گزارش ارزی'!$G$8:$G$9818,E87)</f>
        <v>0</v>
      </c>
    </row>
    <row r="88" spans="2:7">
      <c r="B88" s="147" t="s">
        <v>38</v>
      </c>
      <c r="C88" s="18" t="s">
        <v>156</v>
      </c>
      <c r="D88" s="15" t="s">
        <v>66</v>
      </c>
      <c r="E88" s="16" t="s">
        <v>6</v>
      </c>
      <c r="F88" s="17">
        <f>SUMIFS('ریز گزارش ارزی'!$AC$8:$AC$9818,'ریز گزارش ارزی'!$AC$8:$AC$9818,"&gt;0",'ریز گزارش ارزی'!$AF$8:$AF$9818,"1",'ریز گزارش ارزی'!$H$8:$H$9818,B88,'ریز گزارش ارزی'!$F$8:$F$9818,C88,'ریز گزارش ارزی'!$G$8:$G$9818,E88)</f>
        <v>0</v>
      </c>
      <c r="G88" s="17">
        <f>SUMIFS('ریز گزارش ارزی'!$AD$8:$AD$9818,'ریز گزارش ارزی'!$AD$8:$AD$9818,"&gt;0",'ریز گزارش ارزی'!$AF$8:$AF$9818,"2",'ریز گزارش ارزی'!$H$8:$H$9818,B88,'ریز گزارش ارزی'!$F$8:$F$9818,C88,'ریز گزارش ارزی'!$G$8:$G$9818,E88)</f>
        <v>0</v>
      </c>
    </row>
    <row r="89" spans="2:7">
      <c r="B89" s="147" t="s">
        <v>38</v>
      </c>
      <c r="C89" s="18" t="s">
        <v>156</v>
      </c>
      <c r="D89" s="15" t="s">
        <v>66</v>
      </c>
      <c r="E89" s="16" t="s">
        <v>0</v>
      </c>
      <c r="F89" s="17">
        <f>SUMIFS('ریز گزارش ارزی'!$AC$8:$AC$9818,'ریز گزارش ارزی'!$AC$8:$AC$9818,"&gt;0",'ریز گزارش ارزی'!$AF$8:$AF$9818,"1",'ریز گزارش ارزی'!$H$8:$H$9818,B89,'ریز گزارش ارزی'!$F$8:$F$9818,C89,'ریز گزارش ارزی'!$G$8:$G$9818,E89)</f>
        <v>0</v>
      </c>
      <c r="G89" s="17">
        <f>SUMIFS('ریز گزارش ارزی'!$AD$8:$AD$9818,'ریز گزارش ارزی'!$AD$8:$AD$9818,"&gt;0",'ریز گزارش ارزی'!$AF$8:$AF$9818,"2",'ریز گزارش ارزی'!$H$8:$H$9818,B89,'ریز گزارش ارزی'!$F$8:$F$9818,C89,'ریز گزارش ارزی'!$G$8:$G$9818,E89)</f>
        <v>0</v>
      </c>
    </row>
    <row r="90" spans="2:7">
      <c r="B90" s="147" t="s">
        <v>38</v>
      </c>
      <c r="C90" s="18" t="s">
        <v>156</v>
      </c>
      <c r="D90" s="15" t="s">
        <v>66</v>
      </c>
      <c r="E90" s="16" t="s">
        <v>1</v>
      </c>
      <c r="F90" s="17">
        <f>SUMIFS('ریز گزارش ارزی'!$AC$8:$AC$9818,'ریز گزارش ارزی'!$AC$8:$AC$9818,"&gt;0",'ریز گزارش ارزی'!$AF$8:$AF$9818,"1",'ریز گزارش ارزی'!$H$8:$H$9818,B90,'ریز گزارش ارزی'!$F$8:$F$9818,C90,'ریز گزارش ارزی'!$G$8:$G$9818,E90)</f>
        <v>0</v>
      </c>
      <c r="G90" s="17">
        <f>SUMIFS('ریز گزارش ارزی'!$AD$8:$AD$9818,'ریز گزارش ارزی'!$AD$8:$AD$9818,"&gt;0",'ریز گزارش ارزی'!$AF$8:$AF$9818,"2",'ریز گزارش ارزی'!$H$8:$H$9818,B90,'ریز گزارش ارزی'!$F$8:$F$9818,C90,'ریز گزارش ارزی'!$G$8:$G$9818,E90)</f>
        <v>0</v>
      </c>
    </row>
    <row r="91" spans="2:7">
      <c r="B91" s="147" t="s">
        <v>38</v>
      </c>
      <c r="C91" s="18" t="s">
        <v>156</v>
      </c>
      <c r="D91" s="15" t="s">
        <v>66</v>
      </c>
      <c r="E91" s="16" t="s">
        <v>3</v>
      </c>
      <c r="F91" s="17">
        <f>SUMIFS('ریز گزارش ارزی'!$AC$8:$AC$9818,'ریز گزارش ارزی'!$AC$8:$AC$9818,"&gt;0",'ریز گزارش ارزی'!$AF$8:$AF$9818,"1",'ریز گزارش ارزی'!$H$8:$H$9818,B91,'ریز گزارش ارزی'!$F$8:$F$9818,C91,'ریز گزارش ارزی'!$G$8:$G$9818,E91)</f>
        <v>0</v>
      </c>
      <c r="G91" s="17">
        <f>SUMIFS('ریز گزارش ارزی'!$AD$8:$AD$9818,'ریز گزارش ارزی'!$AD$8:$AD$9818,"&gt;0",'ریز گزارش ارزی'!$AF$8:$AF$9818,"2",'ریز گزارش ارزی'!$H$8:$H$9818,B91,'ریز گزارش ارزی'!$F$8:$F$9818,C91,'ریز گزارش ارزی'!$G$8:$G$9818,E91)</f>
        <v>0</v>
      </c>
    </row>
    <row r="92" spans="2:7">
      <c r="B92" s="147" t="s">
        <v>38</v>
      </c>
      <c r="C92" s="18" t="s">
        <v>156</v>
      </c>
      <c r="D92" s="15" t="s">
        <v>66</v>
      </c>
      <c r="E92" s="16" t="s">
        <v>9</v>
      </c>
      <c r="F92" s="17">
        <f>SUMIFS('ریز گزارش ارزی'!$AC$8:$AC$9818,'ریز گزارش ارزی'!$AC$8:$AC$9818,"&gt;0",'ریز گزارش ارزی'!$AF$8:$AF$9818,"1",'ریز گزارش ارزی'!$H$8:$H$9818,B92,'ریز گزارش ارزی'!$F$8:$F$9818,C92,'ریز گزارش ارزی'!$G$8:$G$9818,E92)</f>
        <v>0</v>
      </c>
      <c r="G92" s="17">
        <f>SUMIFS('ریز گزارش ارزی'!$AD$8:$AD$9818,'ریز گزارش ارزی'!$AD$8:$AD$9818,"&gt;0",'ریز گزارش ارزی'!$AF$8:$AF$9818,"2",'ریز گزارش ارزی'!$H$8:$H$9818,B92,'ریز گزارش ارزی'!$F$8:$F$9818,C92,'ریز گزارش ارزی'!$G$8:$G$9818,E92)</f>
        <v>0</v>
      </c>
    </row>
    <row r="93" spans="2:7">
      <c r="B93" s="147" t="s">
        <v>38</v>
      </c>
      <c r="C93" s="18" t="s">
        <v>156</v>
      </c>
      <c r="D93" s="15" t="s">
        <v>66</v>
      </c>
      <c r="E93" s="16" t="s">
        <v>14</v>
      </c>
      <c r="F93" s="17">
        <f>SUMIFS('ریز گزارش ارزی'!$AC$8:$AC$9818,'ریز گزارش ارزی'!$AC$8:$AC$9818,"&gt;0",'ریز گزارش ارزی'!$AF$8:$AF$9818,"1",'ریز گزارش ارزی'!$H$8:$H$9818,B93,'ریز گزارش ارزی'!$F$8:$F$9818,C93,'ریز گزارش ارزی'!$G$8:$G$9818,E93)</f>
        <v>0</v>
      </c>
      <c r="G93" s="17">
        <f>SUMIFS('ریز گزارش ارزی'!$AD$8:$AD$9818,'ریز گزارش ارزی'!$AD$8:$AD$9818,"&gt;0",'ریز گزارش ارزی'!$AF$8:$AF$9818,"2",'ریز گزارش ارزی'!$H$8:$H$9818,B93,'ریز گزارش ارزی'!$F$8:$F$9818,C93,'ریز گزارش ارزی'!$G$8:$G$9818,E93)</f>
        <v>0</v>
      </c>
    </row>
    <row r="94" spans="2:7">
      <c r="B94" s="147" t="s">
        <v>38</v>
      </c>
      <c r="C94" s="18" t="s">
        <v>156</v>
      </c>
      <c r="D94" s="15" t="s">
        <v>66</v>
      </c>
      <c r="E94" s="16" t="s">
        <v>5</v>
      </c>
      <c r="F94" s="17">
        <f>SUMIFS('ریز گزارش ارزی'!$AC$8:$AC$9818,'ریز گزارش ارزی'!$AC$8:$AC$9818,"&gt;0",'ریز گزارش ارزی'!$AF$8:$AF$9818,"1",'ریز گزارش ارزی'!$H$8:$H$9818,B94,'ریز گزارش ارزی'!$F$8:$F$9818,C94,'ریز گزارش ارزی'!$G$8:$G$9818,E94)</f>
        <v>0</v>
      </c>
      <c r="G94" s="17">
        <f>SUMIFS('ریز گزارش ارزی'!$AD$8:$AD$9818,'ریز گزارش ارزی'!$AD$8:$AD$9818,"&gt;0",'ریز گزارش ارزی'!$AF$8:$AF$9818,"2",'ریز گزارش ارزی'!$H$8:$H$9818,B94,'ریز گزارش ارزی'!$F$8:$F$9818,C94,'ریز گزارش ارزی'!$G$8:$G$9818,E94)</f>
        <v>0</v>
      </c>
    </row>
    <row r="95" spans="2:7">
      <c r="B95" s="18" t="s">
        <v>37</v>
      </c>
      <c r="C95" s="18" t="s">
        <v>156</v>
      </c>
      <c r="D95" s="19" t="s">
        <v>66</v>
      </c>
      <c r="E95" s="148" t="s">
        <v>6</v>
      </c>
      <c r="F95" s="21">
        <f>SUMIFS('ریز گزارش ارزی'!$AC$8:$AC$9818,'ریز گزارش ارزی'!$AC$8:$AC$9818,"&gt;0",'ریز گزارش ارزی'!$AF$8:$AF$9818,"1",'ریز گزارش ارزی'!$H$8:$H$9818,B95,'ریز گزارش ارزی'!$F$8:$F$9818,C95,'ریز گزارش ارزی'!$G$8:$G$9818,E95)</f>
        <v>193.10344827586206</v>
      </c>
      <c r="G95" s="21">
        <f>SUMIFS('ریز گزارش ارزی'!$AD$8:$AD$9818,'ریز گزارش ارزی'!$AD$8:$AD$9818,"&gt;0",'ریز گزارش ارزی'!$AF$8:$AF$9818,"2",'ریز گزارش ارزی'!$H$8:$H$9818,B95,'ریز گزارش ارزی'!$F$8:$F$9818,C95,'ریز گزارش ارزی'!$G$8:$G$9818,E95)</f>
        <v>179</v>
      </c>
    </row>
    <row r="96" spans="2:7">
      <c r="B96" s="18" t="s">
        <v>37</v>
      </c>
      <c r="C96" s="18" t="s">
        <v>156</v>
      </c>
      <c r="D96" s="19" t="s">
        <v>66</v>
      </c>
      <c r="E96" s="148" t="s">
        <v>0</v>
      </c>
      <c r="F96" s="21">
        <f>SUMIFS('ریز گزارش ارزی'!$AC$8:$AC$9818,'ریز گزارش ارزی'!$AC$8:$AC$9818,"&gt;0",'ریز گزارش ارزی'!$AF$8:$AF$9818,"1",'ریز گزارش ارزی'!$H$8:$H$9818,B96,'ریز گزارش ارزی'!$F$8:$F$9818,C96,'ریز گزارش ارزی'!$G$8:$G$9818,E96)</f>
        <v>524.1</v>
      </c>
      <c r="G96" s="21">
        <f>SUMIFS('ریز گزارش ارزی'!$AD$8:$AD$9818,'ریز گزارش ارزی'!$AD$8:$AD$9818,"&gt;0",'ریز گزارش ارزی'!$AF$8:$AF$9818,"2",'ریز گزارش ارزی'!$H$8:$H$9818,B96,'ریز گزارش ارزی'!$F$8:$F$9818,C96,'ریز گزارش ارزی'!$G$8:$G$9818,E96)</f>
        <v>342</v>
      </c>
    </row>
    <row r="97" spans="2:7">
      <c r="B97" s="18" t="s">
        <v>37</v>
      </c>
      <c r="C97" s="18" t="s">
        <v>156</v>
      </c>
      <c r="D97" s="19" t="s">
        <v>66</v>
      </c>
      <c r="E97" s="148" t="s">
        <v>1</v>
      </c>
      <c r="F97" s="21">
        <f>SUMIFS('ریز گزارش ارزی'!$AC$8:$AC$9818,'ریز گزارش ارزی'!$AC$8:$AC$9818,"&gt;0",'ریز گزارش ارزی'!$AF$8:$AF$9818,"1",'ریز گزارش ارزی'!$H$8:$H$9818,B97,'ریز گزارش ارزی'!$F$8:$F$9818,C97,'ریز گزارش ارزی'!$G$8:$G$9818,E97)</f>
        <v>0</v>
      </c>
      <c r="G97" s="21">
        <f>SUMIFS('ریز گزارش ارزی'!$AD$8:$AD$9818,'ریز گزارش ارزی'!$AD$8:$AD$9818,"&gt;0",'ریز گزارش ارزی'!$AF$8:$AF$9818,"2",'ریز گزارش ارزی'!$H$8:$H$9818,B97,'ریز گزارش ارزی'!$F$8:$F$9818,C97,'ریز گزارش ارزی'!$G$8:$G$9818,E97)</f>
        <v>170</v>
      </c>
    </row>
    <row r="98" spans="2:7">
      <c r="B98" s="18" t="s">
        <v>37</v>
      </c>
      <c r="C98" s="18" t="s">
        <v>156</v>
      </c>
      <c r="D98" s="19" t="s">
        <v>66</v>
      </c>
      <c r="E98" s="148" t="s">
        <v>3</v>
      </c>
      <c r="F98" s="21">
        <f>SUMIFS('ریز گزارش ارزی'!$AC$8:$AC$9818,'ریز گزارش ارزی'!$AC$8:$AC$9818,"&gt;0",'ریز گزارش ارزی'!$AF$8:$AF$9818,"1",'ریز گزارش ارزی'!$H$8:$H$9818,B98,'ریز گزارش ارزی'!$F$8:$F$9818,C98,'ریز گزارش ارزی'!$G$8:$G$9818,E98)</f>
        <v>0</v>
      </c>
      <c r="G98" s="21">
        <f>SUMIFS('ریز گزارش ارزی'!$AD$8:$AD$9818,'ریز گزارش ارزی'!$AD$8:$AD$9818,"&gt;0",'ریز گزارش ارزی'!$AF$8:$AF$9818,"2",'ریز گزارش ارزی'!$H$8:$H$9818,B98,'ریز گزارش ارزی'!$F$8:$F$9818,C98,'ریز گزارش ارزی'!$G$8:$G$9818,E98)</f>
        <v>0</v>
      </c>
    </row>
    <row r="99" spans="2:7">
      <c r="B99" s="18" t="s">
        <v>37</v>
      </c>
      <c r="C99" s="18" t="s">
        <v>156</v>
      </c>
      <c r="D99" s="19" t="s">
        <v>66</v>
      </c>
      <c r="E99" s="148" t="s">
        <v>9</v>
      </c>
      <c r="F99" s="21">
        <f>SUMIFS('ریز گزارش ارزی'!$AC$8:$AC$9818,'ریز گزارش ارزی'!$AC$8:$AC$9818,"&gt;0",'ریز گزارش ارزی'!$AF$8:$AF$9818,"1",'ریز گزارش ارزی'!$H$8:$H$9818,B99,'ریز گزارش ارزی'!$F$8:$F$9818,C99,'ریز گزارش ارزی'!$G$8:$G$9818,E99)</f>
        <v>0</v>
      </c>
      <c r="G99" s="21">
        <f>SUMIFS('ریز گزارش ارزی'!$AD$8:$AD$9818,'ریز گزارش ارزی'!$AD$8:$AD$9818,"&gt;0",'ریز گزارش ارزی'!$AF$8:$AF$9818,"2",'ریز گزارش ارزی'!$H$8:$H$9818,B99,'ریز گزارش ارزی'!$F$8:$F$9818,C99,'ریز گزارش ارزی'!$G$8:$G$9818,E99)</f>
        <v>0</v>
      </c>
    </row>
    <row r="100" spans="2:7">
      <c r="B100" s="18" t="s">
        <v>37</v>
      </c>
      <c r="C100" s="18" t="s">
        <v>156</v>
      </c>
      <c r="D100" s="19" t="s">
        <v>66</v>
      </c>
      <c r="E100" s="148" t="s">
        <v>14</v>
      </c>
      <c r="F100" s="21">
        <f>SUMIFS('ریز گزارش ارزی'!$AC$8:$AC$9818,'ریز گزارش ارزی'!$AC$8:$AC$9818,"&gt;0",'ریز گزارش ارزی'!$AF$8:$AF$9818,"1",'ریز گزارش ارزی'!$H$8:$H$9818,B100,'ریز گزارش ارزی'!$F$8:$F$9818,C100,'ریز گزارش ارزی'!$G$8:$G$9818,E100)</f>
        <v>0</v>
      </c>
      <c r="G100" s="21">
        <f>SUMIFS('ریز گزارش ارزی'!$AD$8:$AD$9818,'ریز گزارش ارزی'!$AD$8:$AD$9818,"&gt;0",'ریز گزارش ارزی'!$AF$8:$AF$9818,"2",'ریز گزارش ارزی'!$H$8:$H$9818,B100,'ریز گزارش ارزی'!$F$8:$F$9818,C100,'ریز گزارش ارزی'!$G$8:$G$9818,E100)</f>
        <v>0</v>
      </c>
    </row>
    <row r="101" spans="2:7">
      <c r="B101" s="18" t="s">
        <v>37</v>
      </c>
      <c r="C101" s="18" t="s">
        <v>156</v>
      </c>
      <c r="D101" s="19" t="s">
        <v>66</v>
      </c>
      <c r="E101" s="148" t="s">
        <v>5</v>
      </c>
      <c r="F101" s="21">
        <f>SUMIFS('ریز گزارش ارزی'!$AC$8:$AC$9818,'ریز گزارش ارزی'!$AC$8:$AC$9818,"&gt;0",'ریز گزارش ارزی'!$AF$8:$AF$9818,"1",'ریز گزارش ارزی'!$H$8:$H$9818,B101,'ریز گزارش ارزی'!$F$8:$F$9818,C101,'ریز گزارش ارزی'!$G$8:$G$9818,E101)</f>
        <v>0</v>
      </c>
      <c r="G101" s="21">
        <f>SUMIFS('ریز گزارش ارزی'!$AD$8:$AD$9818,'ریز گزارش ارزی'!$AD$8:$AD$9818,"&gt;0",'ریز گزارش ارزی'!$AF$8:$AF$9818,"2",'ریز گزارش ارزی'!$H$8:$H$9818,B101,'ریز گزارش ارزی'!$F$8:$F$9818,C101,'ریز گزارش ارزی'!$G$8:$G$9818,E101)</f>
        <v>0</v>
      </c>
    </row>
    <row r="102" spans="2:7">
      <c r="B102" s="147" t="s">
        <v>157</v>
      </c>
      <c r="C102" s="18" t="s">
        <v>156</v>
      </c>
      <c r="D102" s="15" t="s">
        <v>66</v>
      </c>
      <c r="E102" s="16" t="s">
        <v>6</v>
      </c>
      <c r="F102" s="17">
        <f>SUMIFS('ریز گزارش ارزی'!$AC$8:$AC$9818,'ریز گزارش ارزی'!$AC$8:$AC$9818,"&gt;0",'ریز گزارش ارزی'!$AF$8:$AF$9818,"1",'ریز گزارش ارزی'!$H$8:$H$9818,B102,'ریز گزارش ارزی'!$F$8:$F$9818,C102,'ریز گزارش ارزی'!$G$8:$G$9818,E102)</f>
        <v>0</v>
      </c>
      <c r="G102" s="17">
        <f>SUMIFS('ریز گزارش ارزی'!$AD$8:$AD$9818,'ریز گزارش ارزی'!$AD$8:$AD$9818,"&gt;0",'ریز گزارش ارزی'!$AF$8:$AF$9818,"2",'ریز گزارش ارزی'!$H$8:$H$9818,B102,'ریز گزارش ارزی'!$F$8:$F$9818,C102,'ریز گزارش ارزی'!$G$8:$G$9818,E102)</f>
        <v>0</v>
      </c>
    </row>
    <row r="103" spans="2:7">
      <c r="B103" s="147" t="s">
        <v>157</v>
      </c>
      <c r="C103" s="18" t="s">
        <v>156</v>
      </c>
      <c r="D103" s="15" t="s">
        <v>66</v>
      </c>
      <c r="E103" s="16" t="s">
        <v>0</v>
      </c>
      <c r="F103" s="17">
        <f>SUMIFS('ریز گزارش ارزی'!$AC$8:$AC$9818,'ریز گزارش ارزی'!$AC$8:$AC$9818,"&gt;0",'ریز گزارش ارزی'!$AF$8:$AF$9818,"1",'ریز گزارش ارزی'!$H$8:$H$9818,B103,'ریز گزارش ارزی'!$F$8:$F$9818,C103,'ریز گزارش ارزی'!$G$8:$G$9818,E103)</f>
        <v>835.2</v>
      </c>
      <c r="G103" s="17">
        <f>SUMIFS('ریز گزارش ارزی'!$AD$8:$AD$9818,'ریز گزارش ارزی'!$AD$8:$AD$9818,"&gt;0",'ریز گزارش ارزی'!$AF$8:$AF$9818,"2",'ریز گزارش ارزی'!$H$8:$H$9818,B103,'ریز گزارش ارزی'!$F$8:$F$9818,C103,'ریز گزارش ارزی'!$G$8:$G$9818,E103)</f>
        <v>0</v>
      </c>
    </row>
    <row r="104" spans="2:7">
      <c r="B104" s="147" t="s">
        <v>157</v>
      </c>
      <c r="C104" s="18" t="s">
        <v>156</v>
      </c>
      <c r="D104" s="15" t="s">
        <v>66</v>
      </c>
      <c r="E104" s="16" t="s">
        <v>1</v>
      </c>
      <c r="F104" s="17">
        <f>SUMIFS('ریز گزارش ارزی'!$AC$8:$AC$9818,'ریز گزارش ارزی'!$AC$8:$AC$9818,"&gt;0",'ریز گزارش ارزی'!$AF$8:$AF$9818,"1",'ریز گزارش ارزی'!$H$8:$H$9818,B104,'ریز گزارش ارزی'!$F$8:$F$9818,C104,'ریز گزارش ارزی'!$G$8:$G$9818,E104)</f>
        <v>0</v>
      </c>
      <c r="G104" s="17">
        <f>SUMIFS('ریز گزارش ارزی'!$AD$8:$AD$9818,'ریز گزارش ارزی'!$AD$8:$AD$9818,"&gt;0",'ریز گزارش ارزی'!$AF$8:$AF$9818,"2",'ریز گزارش ارزی'!$H$8:$H$9818,B104,'ریز گزارش ارزی'!$F$8:$F$9818,C104,'ریز گزارش ارزی'!$G$8:$G$9818,E104)</f>
        <v>0</v>
      </c>
    </row>
    <row r="105" spans="2:7">
      <c r="B105" s="147" t="s">
        <v>157</v>
      </c>
      <c r="C105" s="18" t="s">
        <v>156</v>
      </c>
      <c r="D105" s="15" t="s">
        <v>66</v>
      </c>
      <c r="E105" s="16" t="s">
        <v>3</v>
      </c>
      <c r="F105" s="17">
        <f>SUMIFS('ریز گزارش ارزی'!$AC$8:$AC$9818,'ریز گزارش ارزی'!$AC$8:$AC$9818,"&gt;0",'ریز گزارش ارزی'!$AF$8:$AF$9818,"1",'ریز گزارش ارزی'!$H$8:$H$9818,B105,'ریز گزارش ارزی'!$F$8:$F$9818,C105,'ریز گزارش ارزی'!$G$8:$G$9818,E105)</f>
        <v>0</v>
      </c>
      <c r="G105" s="17">
        <f>SUMIFS('ریز گزارش ارزی'!$AD$8:$AD$9818,'ریز گزارش ارزی'!$AD$8:$AD$9818,"&gt;0",'ریز گزارش ارزی'!$AF$8:$AF$9818,"2",'ریز گزارش ارزی'!$H$8:$H$9818,B105,'ریز گزارش ارزی'!$F$8:$F$9818,C105,'ریز گزارش ارزی'!$G$8:$G$9818,E105)</f>
        <v>0</v>
      </c>
    </row>
    <row r="106" spans="2:7">
      <c r="B106" s="147" t="s">
        <v>157</v>
      </c>
      <c r="C106" s="18" t="s">
        <v>156</v>
      </c>
      <c r="D106" s="15" t="s">
        <v>66</v>
      </c>
      <c r="E106" s="16" t="s">
        <v>9</v>
      </c>
      <c r="F106" s="17">
        <f>SUMIFS('ریز گزارش ارزی'!$AC$8:$AC$9818,'ریز گزارش ارزی'!$AC$8:$AC$9818,"&gt;0",'ریز گزارش ارزی'!$AF$8:$AF$9818,"1",'ریز گزارش ارزی'!$H$8:$H$9818,B106,'ریز گزارش ارزی'!$F$8:$F$9818,C106,'ریز گزارش ارزی'!$G$8:$G$9818,E106)</f>
        <v>0</v>
      </c>
      <c r="G106" s="17">
        <f>SUMIFS('ریز گزارش ارزی'!$AD$8:$AD$9818,'ریز گزارش ارزی'!$AD$8:$AD$9818,"&gt;0",'ریز گزارش ارزی'!$AF$8:$AF$9818,"2",'ریز گزارش ارزی'!$H$8:$H$9818,B106,'ریز گزارش ارزی'!$F$8:$F$9818,C106,'ریز گزارش ارزی'!$G$8:$G$9818,E106)</f>
        <v>0</v>
      </c>
    </row>
    <row r="107" spans="2:7">
      <c r="B107" s="147" t="s">
        <v>157</v>
      </c>
      <c r="C107" s="18" t="s">
        <v>156</v>
      </c>
      <c r="D107" s="15" t="s">
        <v>66</v>
      </c>
      <c r="E107" s="16" t="s">
        <v>14</v>
      </c>
      <c r="F107" s="17">
        <f>SUMIFS('ریز گزارش ارزی'!$AC$8:$AC$9818,'ریز گزارش ارزی'!$AC$8:$AC$9818,"&gt;0",'ریز گزارش ارزی'!$AF$8:$AF$9818,"1",'ریز گزارش ارزی'!$H$8:$H$9818,B107,'ریز گزارش ارزی'!$F$8:$F$9818,C107,'ریز گزارش ارزی'!$G$8:$G$9818,E107)</f>
        <v>0</v>
      </c>
      <c r="G107" s="17">
        <f>SUMIFS('ریز گزارش ارزی'!$AD$8:$AD$9818,'ریز گزارش ارزی'!$AD$8:$AD$9818,"&gt;0",'ریز گزارش ارزی'!$AF$8:$AF$9818,"2",'ریز گزارش ارزی'!$H$8:$H$9818,B107,'ریز گزارش ارزی'!$F$8:$F$9818,C107,'ریز گزارش ارزی'!$G$8:$G$9818,E107)</f>
        <v>0</v>
      </c>
    </row>
    <row r="108" spans="2:7">
      <c r="B108" s="147" t="s">
        <v>157</v>
      </c>
      <c r="C108" s="18" t="s">
        <v>156</v>
      </c>
      <c r="D108" s="15" t="s">
        <v>66</v>
      </c>
      <c r="E108" s="16" t="s">
        <v>5</v>
      </c>
      <c r="F108" s="17">
        <f>SUMIFS('ریز گزارش ارزی'!$AC$8:$AC$9818,'ریز گزارش ارزی'!$AC$8:$AC$9818,"&gt;0",'ریز گزارش ارزی'!$AF$8:$AF$9818,"1",'ریز گزارش ارزی'!$H$8:$H$9818,B108,'ریز گزارش ارزی'!$F$8:$F$9818,C108,'ریز گزارش ارزی'!$G$8:$G$9818,E108)</f>
        <v>0</v>
      </c>
      <c r="G108" s="17">
        <f>SUMIFS('ریز گزارش ارزی'!$AD$8:$AD$9818,'ریز گزارش ارزی'!$AD$8:$AD$9818,"&gt;0",'ریز گزارش ارزی'!$AF$8:$AF$9818,"2",'ریز گزارش ارزی'!$H$8:$H$9818,B108,'ریز گزارش ارزی'!$F$8:$F$9818,C108,'ریز گزارش ارزی'!$G$8:$G$9818,E108)</f>
        <v>0</v>
      </c>
    </row>
    <row r="109" spans="2:7">
      <c r="B109" s="150" t="s">
        <v>158</v>
      </c>
      <c r="C109" s="18" t="s">
        <v>156</v>
      </c>
      <c r="D109" s="19" t="s">
        <v>66</v>
      </c>
      <c r="E109" s="148" t="s">
        <v>6</v>
      </c>
      <c r="F109" s="21">
        <f>SUMIFS('ریز گزارش ارزی'!$AC$8:$AC$9818,'ریز گزارش ارزی'!$AC$8:$AC$9818,"&gt;0",'ریز گزارش ارزی'!$AF$8:$AF$9818,"1",'ریز گزارش ارزی'!$H$8:$H$9818,B109,'ریز گزارش ارزی'!$F$8:$F$9818,C109,'ریز گزارش ارزی'!$G$8:$G$9818,E109)</f>
        <v>0</v>
      </c>
      <c r="G109" s="21">
        <f>SUMIFS('ریز گزارش ارزی'!$AD$8:$AD$9818,'ریز گزارش ارزی'!$AD$8:$AD$9818,"&gt;0",'ریز گزارش ارزی'!$AF$8:$AF$9818,"2",'ریز گزارش ارزی'!$H$8:$H$9818,B109,'ریز گزارش ارزی'!$F$8:$F$9818,C109,'ریز گزارش ارزی'!$G$8:$G$9818,E109)</f>
        <v>0</v>
      </c>
    </row>
    <row r="110" spans="2:7">
      <c r="B110" s="150" t="s">
        <v>158</v>
      </c>
      <c r="C110" s="18" t="s">
        <v>156</v>
      </c>
      <c r="D110" s="19" t="s">
        <v>66</v>
      </c>
      <c r="E110" s="148" t="s">
        <v>0</v>
      </c>
      <c r="F110" s="21">
        <f>SUMIFS('ریز گزارش ارزی'!$AC$8:$AC$9818,'ریز گزارش ارزی'!$AC$8:$AC$9818,"&gt;0",'ریز گزارش ارزی'!$AF$8:$AF$9818,"1",'ریز گزارش ارزی'!$H$8:$H$9818,B110,'ریز گزارش ارزی'!$F$8:$F$9818,C110,'ریز گزارش ارزی'!$G$8:$G$9818,E110)</f>
        <v>321.89999999999998</v>
      </c>
      <c r="G110" s="21">
        <f>SUMIFS('ریز گزارش ارزی'!$AD$8:$AD$9818,'ریز گزارش ارزی'!$AD$8:$AD$9818,"&gt;0",'ریز گزارش ارزی'!$AF$8:$AF$9818,"2",'ریز گزارش ارزی'!$H$8:$H$9818,B110,'ریز گزارش ارزی'!$F$8:$F$9818,C110,'ریز گزارش ارزی'!$G$8:$G$9818,E110)</f>
        <v>0</v>
      </c>
    </row>
    <row r="111" spans="2:7">
      <c r="B111" s="150" t="s">
        <v>158</v>
      </c>
      <c r="C111" s="18" t="s">
        <v>156</v>
      </c>
      <c r="D111" s="19" t="s">
        <v>66</v>
      </c>
      <c r="E111" s="148" t="s">
        <v>1</v>
      </c>
      <c r="F111" s="21">
        <f>SUMIFS('ریز گزارش ارزی'!$AC$8:$AC$9818,'ریز گزارش ارزی'!$AC$8:$AC$9818,"&gt;0",'ریز گزارش ارزی'!$AF$8:$AF$9818,"1",'ریز گزارش ارزی'!$H$8:$H$9818,B111,'ریز گزارش ارزی'!$F$8:$F$9818,C111,'ریز گزارش ارزی'!$G$8:$G$9818,E111)</f>
        <v>0</v>
      </c>
      <c r="G111" s="21">
        <f>SUMIFS('ریز گزارش ارزی'!$AD$8:$AD$9818,'ریز گزارش ارزی'!$AD$8:$AD$9818,"&gt;0",'ریز گزارش ارزی'!$AF$8:$AF$9818,"2",'ریز گزارش ارزی'!$H$8:$H$9818,B111,'ریز گزارش ارزی'!$F$8:$F$9818,C111,'ریز گزارش ارزی'!$G$8:$G$9818,E111)</f>
        <v>0</v>
      </c>
    </row>
    <row r="112" spans="2:7">
      <c r="B112" s="150" t="s">
        <v>158</v>
      </c>
      <c r="C112" s="18" t="s">
        <v>156</v>
      </c>
      <c r="D112" s="19" t="s">
        <v>66</v>
      </c>
      <c r="E112" s="148" t="s">
        <v>3</v>
      </c>
      <c r="F112" s="21">
        <f>SUMIFS('ریز گزارش ارزی'!$AC$8:$AC$9818,'ریز گزارش ارزی'!$AC$8:$AC$9818,"&gt;0",'ریز گزارش ارزی'!$AF$8:$AF$9818,"1",'ریز گزارش ارزی'!$H$8:$H$9818,B112,'ریز گزارش ارزی'!$F$8:$F$9818,C112,'ریز گزارش ارزی'!$G$8:$G$9818,E112)</f>
        <v>0</v>
      </c>
      <c r="G112" s="21">
        <f>SUMIFS('ریز گزارش ارزی'!$AD$8:$AD$9818,'ریز گزارش ارزی'!$AD$8:$AD$9818,"&gt;0",'ریز گزارش ارزی'!$AF$8:$AF$9818,"2",'ریز گزارش ارزی'!$H$8:$H$9818,B112,'ریز گزارش ارزی'!$F$8:$F$9818,C112,'ریز گزارش ارزی'!$G$8:$G$9818,E112)</f>
        <v>0</v>
      </c>
    </row>
    <row r="113" spans="2:7">
      <c r="B113" s="150" t="s">
        <v>158</v>
      </c>
      <c r="C113" s="18" t="s">
        <v>156</v>
      </c>
      <c r="D113" s="19" t="s">
        <v>66</v>
      </c>
      <c r="E113" s="148" t="s">
        <v>9</v>
      </c>
      <c r="F113" s="21">
        <f>SUMIFS('ریز گزارش ارزی'!$AC$8:$AC$9818,'ریز گزارش ارزی'!$AC$8:$AC$9818,"&gt;0",'ریز گزارش ارزی'!$AF$8:$AF$9818,"1",'ریز گزارش ارزی'!$H$8:$H$9818,B113,'ریز گزارش ارزی'!$F$8:$F$9818,C113,'ریز گزارش ارزی'!$G$8:$G$9818,E113)</f>
        <v>0</v>
      </c>
      <c r="G113" s="21">
        <f>SUMIFS('ریز گزارش ارزی'!$AD$8:$AD$9818,'ریز گزارش ارزی'!$AD$8:$AD$9818,"&gt;0",'ریز گزارش ارزی'!$AF$8:$AF$9818,"2",'ریز گزارش ارزی'!$H$8:$H$9818,B113,'ریز گزارش ارزی'!$F$8:$F$9818,C113,'ریز گزارش ارزی'!$G$8:$G$9818,E113)</f>
        <v>0</v>
      </c>
    </row>
    <row r="114" spans="2:7">
      <c r="B114" s="150" t="s">
        <v>158</v>
      </c>
      <c r="C114" s="18" t="s">
        <v>156</v>
      </c>
      <c r="D114" s="19" t="s">
        <v>66</v>
      </c>
      <c r="E114" s="148" t="s">
        <v>14</v>
      </c>
      <c r="F114" s="21">
        <f>SUMIFS('ریز گزارش ارزی'!$AC$8:$AC$9818,'ریز گزارش ارزی'!$AC$8:$AC$9818,"&gt;0",'ریز گزارش ارزی'!$AF$8:$AF$9818,"1",'ریز گزارش ارزی'!$H$8:$H$9818,B114,'ریز گزارش ارزی'!$F$8:$F$9818,C114,'ریز گزارش ارزی'!$G$8:$G$9818,E114)</f>
        <v>0</v>
      </c>
      <c r="G114" s="21">
        <f>SUMIFS('ریز گزارش ارزی'!$AD$8:$AD$9818,'ریز گزارش ارزی'!$AD$8:$AD$9818,"&gt;0",'ریز گزارش ارزی'!$AF$8:$AF$9818,"2",'ریز گزارش ارزی'!$H$8:$H$9818,B114,'ریز گزارش ارزی'!$F$8:$F$9818,C114,'ریز گزارش ارزی'!$G$8:$G$9818,E114)</f>
        <v>0</v>
      </c>
    </row>
    <row r="115" spans="2:7">
      <c r="B115" s="150" t="s">
        <v>158</v>
      </c>
      <c r="C115" s="18" t="s">
        <v>156</v>
      </c>
      <c r="D115" s="19" t="s">
        <v>66</v>
      </c>
      <c r="E115" s="148" t="s">
        <v>5</v>
      </c>
      <c r="F115" s="21">
        <f>SUMIFS('ریز گزارش ارزی'!$AC$8:$AC$9818,'ریز گزارش ارزی'!$AC$8:$AC$9818,"&gt;0",'ریز گزارش ارزی'!$AF$8:$AF$9818,"1",'ریز گزارش ارزی'!$H$8:$H$9818,B115,'ریز گزارش ارزی'!$F$8:$F$9818,C115,'ریز گزارش ارزی'!$G$8:$G$9818,E115)</f>
        <v>0</v>
      </c>
      <c r="G115" s="21">
        <f>SUMIFS('ریز گزارش ارزی'!$AD$8:$AD$9818,'ریز گزارش ارزی'!$AD$8:$AD$9818,"&gt;0",'ریز گزارش ارزی'!$AF$8:$AF$9818,"2",'ریز گزارش ارزی'!$H$8:$H$9818,B115,'ریز گزارش ارزی'!$F$8:$F$9818,C115,'ریز گزارش ارزی'!$G$8:$G$9818,E115)</f>
        <v>0</v>
      </c>
    </row>
    <row r="116" spans="2:7">
      <c r="B116" s="147" t="s">
        <v>38</v>
      </c>
      <c r="C116" s="18" t="s">
        <v>156</v>
      </c>
      <c r="D116" s="15" t="s">
        <v>83</v>
      </c>
      <c r="E116" s="16" t="s">
        <v>6</v>
      </c>
      <c r="F116" s="17">
        <f>SUMIFS('ریز گزارش ارزی'!$AC$8:$AC$9818,'ریز گزارش ارزی'!$AC$8:$AC$9818,"&gt;0",'ریز گزارش ارزی'!$AF$8:$AF$9818,"4",'ریز گزارش ارزی'!$H$8:$H$9818,B116,'ریز گزارش ارزی'!$F$8:$F$9818,C116,'ریز گزارش ارزی'!$G$8:$G$9818,E116)</f>
        <v>0</v>
      </c>
      <c r="G116" s="17">
        <f>SUMIFS('ریز گزارش ارزی'!$AD$8:$AD$9818,'ریز گزارش ارزی'!$AD$8:$AD$9818,"&gt;0",'ریز گزارش ارزی'!$AF$8:$AF$9818,"4",'ریز گزارش ارزی'!$H$8:$H$9818,B116,'ریز گزارش ارزی'!$F$8:$F$9818,C116,'ریز گزارش ارزی'!$G$8:$G$9818,E116)</f>
        <v>0</v>
      </c>
    </row>
    <row r="117" spans="2:7">
      <c r="B117" s="147" t="s">
        <v>38</v>
      </c>
      <c r="C117" s="18" t="s">
        <v>156</v>
      </c>
      <c r="D117" s="15" t="s">
        <v>83</v>
      </c>
      <c r="E117" s="16" t="s">
        <v>0</v>
      </c>
      <c r="F117" s="17">
        <f>SUMIFS('ریز گزارش ارزی'!$AC$8:$AC$9818,'ریز گزارش ارزی'!$AC$8:$AC$9818,"&gt;0",'ریز گزارش ارزی'!$AF$8:$AF$9818,"4",'ریز گزارش ارزی'!$H$8:$H$9818,B117,'ریز گزارش ارزی'!$F$8:$F$9818,C117,'ریز گزارش ارزی'!$G$8:$G$9818,E117)</f>
        <v>0</v>
      </c>
      <c r="G117" s="17">
        <f>SUMIFS('ریز گزارش ارزی'!$AD$8:$AD$9818,'ریز گزارش ارزی'!$AD$8:$AD$9818,"&gt;0",'ریز گزارش ارزی'!$AF$8:$AF$9818,"4",'ریز گزارش ارزی'!$H$8:$H$9818,B117,'ریز گزارش ارزی'!$F$8:$F$9818,C117,'ریز گزارش ارزی'!$G$8:$G$9818,E117)</f>
        <v>0</v>
      </c>
    </row>
    <row r="118" spans="2:7">
      <c r="B118" s="147" t="s">
        <v>38</v>
      </c>
      <c r="C118" s="18" t="s">
        <v>156</v>
      </c>
      <c r="D118" s="15" t="s">
        <v>83</v>
      </c>
      <c r="E118" s="16" t="s">
        <v>1</v>
      </c>
      <c r="F118" s="17">
        <f>SUMIFS('ریز گزارش ارزی'!$AC$8:$AC$9818,'ریز گزارش ارزی'!$AC$8:$AC$9818,"&gt;0",'ریز گزارش ارزی'!$AF$8:$AF$9818,"4",'ریز گزارش ارزی'!$H$8:$H$9818,B118,'ریز گزارش ارزی'!$F$8:$F$9818,C118,'ریز گزارش ارزی'!$G$8:$G$9818,E118)</f>
        <v>0</v>
      </c>
      <c r="G118" s="17">
        <f>SUMIFS('ریز گزارش ارزی'!$AD$8:$AD$9818,'ریز گزارش ارزی'!$AD$8:$AD$9818,"&gt;0",'ریز گزارش ارزی'!$AF$8:$AF$9818,"4",'ریز گزارش ارزی'!$H$8:$H$9818,B118,'ریز گزارش ارزی'!$F$8:$F$9818,C118,'ریز گزارش ارزی'!$G$8:$G$9818,E118)</f>
        <v>0</v>
      </c>
    </row>
    <row r="119" spans="2:7">
      <c r="B119" s="147" t="s">
        <v>38</v>
      </c>
      <c r="C119" s="18" t="s">
        <v>156</v>
      </c>
      <c r="D119" s="15" t="s">
        <v>83</v>
      </c>
      <c r="E119" s="16" t="s">
        <v>3</v>
      </c>
      <c r="F119" s="17">
        <f>SUMIFS('ریز گزارش ارزی'!$AC$8:$AC$9818,'ریز گزارش ارزی'!$AC$8:$AC$9818,"&gt;0",'ریز گزارش ارزی'!$AF$8:$AF$9818,"4",'ریز گزارش ارزی'!$H$8:$H$9818,B119,'ریز گزارش ارزی'!$F$8:$F$9818,C119,'ریز گزارش ارزی'!$G$8:$G$9818,E119)</f>
        <v>0</v>
      </c>
      <c r="G119" s="17">
        <f>SUMIFS('ریز گزارش ارزی'!$AD$8:$AD$9818,'ریز گزارش ارزی'!$AD$8:$AD$9818,"&gt;0",'ریز گزارش ارزی'!$AF$8:$AF$9818,"4",'ریز گزارش ارزی'!$H$8:$H$9818,B119,'ریز گزارش ارزی'!$F$8:$F$9818,C119,'ریز گزارش ارزی'!$G$8:$G$9818,E119)</f>
        <v>0</v>
      </c>
    </row>
    <row r="120" spans="2:7">
      <c r="B120" s="147" t="s">
        <v>38</v>
      </c>
      <c r="C120" s="18" t="s">
        <v>156</v>
      </c>
      <c r="D120" s="15" t="s">
        <v>83</v>
      </c>
      <c r="E120" s="16" t="s">
        <v>9</v>
      </c>
      <c r="F120" s="17">
        <f>SUMIFS('ریز گزارش ارزی'!$AC$8:$AC$9818,'ریز گزارش ارزی'!$AC$8:$AC$9818,"&gt;0",'ریز گزارش ارزی'!$AF$8:$AF$9818,"4",'ریز گزارش ارزی'!$H$8:$H$9818,B120,'ریز گزارش ارزی'!$F$8:$F$9818,C120,'ریز گزارش ارزی'!$G$8:$G$9818,E120)</f>
        <v>0</v>
      </c>
      <c r="G120" s="17">
        <f>SUMIFS('ریز گزارش ارزی'!$AD$8:$AD$9818,'ریز گزارش ارزی'!$AD$8:$AD$9818,"&gt;0",'ریز گزارش ارزی'!$AF$8:$AF$9818,"4",'ریز گزارش ارزی'!$H$8:$H$9818,B120,'ریز گزارش ارزی'!$F$8:$F$9818,C120,'ریز گزارش ارزی'!$G$8:$G$9818,E120)</f>
        <v>0</v>
      </c>
    </row>
    <row r="121" spans="2:7">
      <c r="B121" s="147" t="s">
        <v>38</v>
      </c>
      <c r="C121" s="18" t="s">
        <v>156</v>
      </c>
      <c r="D121" s="15" t="s">
        <v>83</v>
      </c>
      <c r="E121" s="16" t="s">
        <v>14</v>
      </c>
      <c r="F121" s="17">
        <f>SUMIFS('ریز گزارش ارزی'!$AC$8:$AC$9818,'ریز گزارش ارزی'!$AC$8:$AC$9818,"&gt;0",'ریز گزارش ارزی'!$AF$8:$AF$9818,"4",'ریز گزارش ارزی'!$H$8:$H$9818,B121,'ریز گزارش ارزی'!$F$8:$F$9818,C121,'ریز گزارش ارزی'!$G$8:$G$9818,E121)</f>
        <v>0</v>
      </c>
      <c r="G121" s="17">
        <f>SUMIFS('ریز گزارش ارزی'!$AD$8:$AD$9818,'ریز گزارش ارزی'!$AD$8:$AD$9818,"&gt;0",'ریز گزارش ارزی'!$AF$8:$AF$9818,"4",'ریز گزارش ارزی'!$H$8:$H$9818,B121,'ریز گزارش ارزی'!$F$8:$F$9818,C121,'ریز گزارش ارزی'!$G$8:$G$9818,E121)</f>
        <v>0</v>
      </c>
    </row>
    <row r="122" spans="2:7">
      <c r="B122" s="147" t="s">
        <v>38</v>
      </c>
      <c r="C122" s="18" t="s">
        <v>156</v>
      </c>
      <c r="D122" s="15" t="s">
        <v>83</v>
      </c>
      <c r="E122" s="16" t="s">
        <v>5</v>
      </c>
      <c r="F122" s="17">
        <f>SUMIFS('ریز گزارش ارزی'!$AC$8:$AC$9818,'ریز گزارش ارزی'!$AC$8:$AC$9818,"&gt;0",'ریز گزارش ارزی'!$AF$8:$AF$9818,"4",'ریز گزارش ارزی'!$H$8:$H$9818,B122,'ریز گزارش ارزی'!$F$8:$F$9818,C122,'ریز گزارش ارزی'!$G$8:$G$9818,E122)</f>
        <v>0</v>
      </c>
      <c r="G122" s="17">
        <f>SUMIFS('ریز گزارش ارزی'!$AD$8:$AD$9818,'ریز گزارش ارزی'!$AD$8:$AD$9818,"&gt;0",'ریز گزارش ارزی'!$AF$8:$AF$9818,"4",'ریز گزارش ارزی'!$H$8:$H$9818,B122,'ریز گزارش ارزی'!$F$8:$F$9818,C122,'ریز گزارش ارزی'!$G$8:$G$9818,E122)</f>
        <v>0</v>
      </c>
    </row>
    <row r="123" spans="2:7">
      <c r="B123" s="18" t="s">
        <v>37</v>
      </c>
      <c r="C123" s="18" t="s">
        <v>156</v>
      </c>
      <c r="D123" s="19" t="s">
        <v>83</v>
      </c>
      <c r="E123" s="148" t="s">
        <v>6</v>
      </c>
      <c r="F123" s="21">
        <f>SUMIFS('ریز گزارش ارزی'!$AC$8:$AC$9818,'ریز گزارش ارزی'!$AC$8:$AC$9818,"&gt;0",'ریز گزارش ارزی'!$AF$8:$AF$9818,"4",'ریز گزارش ارزی'!$H$8:$H$9818,B123,'ریز گزارش ارزی'!$F$8:$F$9818,C123,'ریز گزارش ارزی'!$G$8:$G$9818,E123)</f>
        <v>0</v>
      </c>
      <c r="G123" s="21">
        <f>SUMIFS('ریز گزارش ارزی'!$AD$8:$AD$9818,'ریز گزارش ارزی'!$AD$8:$AD$9818,"&gt;0",'ریز گزارش ارزی'!$AF$8:$AF$9818,"4",'ریز گزارش ارزی'!$H$8:$H$9818,B123,'ریز گزارش ارزی'!$F$8:$F$9818,C123,'ریز گزارش ارزی'!$G$8:$G$9818,E123)</f>
        <v>7</v>
      </c>
    </row>
    <row r="124" spans="2:7">
      <c r="B124" s="18" t="s">
        <v>37</v>
      </c>
      <c r="C124" s="18" t="s">
        <v>156</v>
      </c>
      <c r="D124" s="19" t="s">
        <v>83</v>
      </c>
      <c r="E124" s="148" t="s">
        <v>0</v>
      </c>
      <c r="F124" s="21">
        <f>SUMIFS('ریز گزارش ارزی'!$AC$8:$AC$9818,'ریز گزارش ارزی'!$AC$8:$AC$9818,"&gt;0",'ریز گزارش ارزی'!$AF$8:$AF$9818,"4",'ریز گزارش ارزی'!$H$8:$H$9818,B124,'ریز گزارش ارزی'!$F$8:$F$9818,C124,'ریز گزارش ارزی'!$G$8:$G$9818,E124)</f>
        <v>0</v>
      </c>
      <c r="G124" s="21">
        <f>SUMIFS('ریز گزارش ارزی'!$AD$8:$AD$9818,'ریز گزارش ارزی'!$AD$8:$AD$9818,"&gt;0",'ریز گزارش ارزی'!$AF$8:$AF$9818,"4",'ریز گزارش ارزی'!$H$8:$H$9818,B124,'ریز گزارش ارزی'!$F$8:$F$9818,C124,'ریز گزارش ارزی'!$G$8:$G$9818,E124)</f>
        <v>170</v>
      </c>
    </row>
    <row r="125" spans="2:7">
      <c r="B125" s="18" t="s">
        <v>37</v>
      </c>
      <c r="C125" s="18" t="s">
        <v>156</v>
      </c>
      <c r="D125" s="19" t="s">
        <v>83</v>
      </c>
      <c r="E125" s="148" t="s">
        <v>1</v>
      </c>
      <c r="F125" s="21">
        <f>SUMIFS('ریز گزارش ارزی'!$AC$8:$AC$9818,'ریز گزارش ارزی'!$AC$8:$AC$9818,"&gt;0",'ریز گزارش ارزی'!$AF$8:$AF$9818,"4",'ریز گزارش ارزی'!$H$8:$H$9818,B125,'ریز گزارش ارزی'!$F$8:$F$9818,C125,'ریز گزارش ارزی'!$G$8:$G$9818,E125)</f>
        <v>170</v>
      </c>
      <c r="G125" s="21">
        <f>SUMIFS('ریز گزارش ارزی'!$AD$8:$AD$9818,'ریز گزارش ارزی'!$AD$8:$AD$9818,"&gt;0",'ریز گزارش ارزی'!$AF$8:$AF$9818,"4",'ریز گزارش ارزی'!$H$8:$H$9818,B125,'ریز گزارش ارزی'!$F$8:$F$9818,C125,'ریز گزارش ارزی'!$G$8:$G$9818,E125)</f>
        <v>0</v>
      </c>
    </row>
    <row r="126" spans="2:7">
      <c r="B126" s="18" t="s">
        <v>37</v>
      </c>
      <c r="C126" s="18" t="s">
        <v>156</v>
      </c>
      <c r="D126" s="19" t="s">
        <v>83</v>
      </c>
      <c r="E126" s="148" t="s">
        <v>3</v>
      </c>
      <c r="F126" s="21">
        <f>SUMIFS('ریز گزارش ارزی'!$AC$8:$AC$9818,'ریز گزارش ارزی'!$AC$8:$AC$9818,"&gt;0",'ریز گزارش ارزی'!$AF$8:$AF$9818,"4",'ریز گزارش ارزی'!$H$8:$H$9818,B126,'ریز گزارش ارزی'!$F$8:$F$9818,C126,'ریز گزارش ارزی'!$G$8:$G$9818,E126)</f>
        <v>0</v>
      </c>
      <c r="G126" s="21">
        <f>SUMIFS('ریز گزارش ارزی'!$AD$8:$AD$9818,'ریز گزارش ارزی'!$AD$8:$AD$9818,"&gt;0",'ریز گزارش ارزی'!$AF$8:$AF$9818,"4",'ریز گزارش ارزی'!$H$8:$H$9818,B126,'ریز گزارش ارزی'!$F$8:$F$9818,C126,'ریز گزارش ارزی'!$G$8:$G$9818,E126)</f>
        <v>0</v>
      </c>
    </row>
    <row r="127" spans="2:7">
      <c r="B127" s="18" t="s">
        <v>37</v>
      </c>
      <c r="C127" s="18" t="s">
        <v>156</v>
      </c>
      <c r="D127" s="19" t="s">
        <v>83</v>
      </c>
      <c r="E127" s="148" t="s">
        <v>9</v>
      </c>
      <c r="F127" s="21">
        <f>SUMIFS('ریز گزارش ارزی'!$AC$8:$AC$9818,'ریز گزارش ارزی'!$AC$8:$AC$9818,"&gt;0",'ریز گزارش ارزی'!$AF$8:$AF$9818,"4",'ریز گزارش ارزی'!$H$8:$H$9818,B127,'ریز گزارش ارزی'!$F$8:$F$9818,C127,'ریز گزارش ارزی'!$G$8:$G$9818,E127)</f>
        <v>0</v>
      </c>
      <c r="G127" s="21">
        <f>SUMIFS('ریز گزارش ارزی'!$AD$8:$AD$9818,'ریز گزارش ارزی'!$AD$8:$AD$9818,"&gt;0",'ریز گزارش ارزی'!$AF$8:$AF$9818,"4",'ریز گزارش ارزی'!$H$8:$H$9818,B127,'ریز گزارش ارزی'!$F$8:$F$9818,C127,'ریز گزارش ارزی'!$G$8:$G$9818,E127)</f>
        <v>0</v>
      </c>
    </row>
    <row r="128" spans="2:7">
      <c r="B128" s="18" t="s">
        <v>37</v>
      </c>
      <c r="C128" s="18" t="s">
        <v>156</v>
      </c>
      <c r="D128" s="19" t="s">
        <v>83</v>
      </c>
      <c r="E128" s="148" t="s">
        <v>14</v>
      </c>
      <c r="F128" s="21">
        <f>SUMIFS('ریز گزارش ارزی'!$AC$8:$AC$9818,'ریز گزارش ارزی'!$AC$8:$AC$9818,"&gt;0",'ریز گزارش ارزی'!$AF$8:$AF$9818,"4",'ریز گزارش ارزی'!$H$8:$H$9818,B128,'ریز گزارش ارزی'!$F$8:$F$9818,C128,'ریز گزارش ارزی'!$G$8:$G$9818,E128)</f>
        <v>0</v>
      </c>
      <c r="G128" s="21">
        <f>SUMIFS('ریز گزارش ارزی'!$AD$8:$AD$9818,'ریز گزارش ارزی'!$AD$8:$AD$9818,"&gt;0",'ریز گزارش ارزی'!$AF$8:$AF$9818,"4",'ریز گزارش ارزی'!$H$8:$H$9818,B128,'ریز گزارش ارزی'!$F$8:$F$9818,C128,'ریز گزارش ارزی'!$G$8:$G$9818,E128)</f>
        <v>0</v>
      </c>
    </row>
    <row r="129" spans="2:7">
      <c r="B129" s="18" t="s">
        <v>37</v>
      </c>
      <c r="C129" s="18" t="s">
        <v>156</v>
      </c>
      <c r="D129" s="19" t="s">
        <v>83</v>
      </c>
      <c r="E129" s="148" t="s">
        <v>5</v>
      </c>
      <c r="F129" s="21">
        <f>SUMIFS('ریز گزارش ارزی'!$AC$8:$AC$9818,'ریز گزارش ارزی'!$AC$8:$AC$9818,"&gt;0",'ریز گزارش ارزی'!$AF$8:$AF$9818,"4",'ریز گزارش ارزی'!$H$8:$H$9818,B129,'ریز گزارش ارزی'!$F$8:$F$9818,C129,'ریز گزارش ارزی'!$G$8:$G$9818,E129)</f>
        <v>0</v>
      </c>
      <c r="G129" s="21">
        <f>SUMIFS('ریز گزارش ارزی'!$AD$8:$AD$9818,'ریز گزارش ارزی'!$AD$8:$AD$9818,"&gt;0",'ریز گزارش ارزی'!$AF$8:$AF$9818,"4",'ریز گزارش ارزی'!$H$8:$H$9818,B129,'ریز گزارش ارزی'!$F$8:$F$9818,C129,'ریز گزارش ارزی'!$G$8:$G$9818,E129)</f>
        <v>0</v>
      </c>
    </row>
    <row r="130" spans="2:7">
      <c r="B130" s="147" t="s">
        <v>157</v>
      </c>
      <c r="C130" s="18" t="s">
        <v>156</v>
      </c>
      <c r="D130" s="15" t="s">
        <v>83</v>
      </c>
      <c r="E130" s="16" t="s">
        <v>6</v>
      </c>
      <c r="F130" s="17">
        <f>SUMIFS('ریز گزارش ارزی'!$AC$8:$AC$9818,'ریز گزارش ارزی'!$AC$8:$AC$9818,"&gt;0",'ریز گزارش ارزی'!$AF$8:$AF$9818,"4",'ریز گزارش ارزی'!$H$8:$H$9818,B130,'ریز گزارش ارزی'!$F$8:$F$9818,C130,'ریز گزارش ارزی'!$G$8:$G$9818,E130)</f>
        <v>0</v>
      </c>
      <c r="G130" s="17">
        <f>SUMIFS('ریز گزارش ارزی'!$AD$8:$AD$9818,'ریز گزارش ارزی'!$AD$8:$AD$9818,"&gt;0",'ریز گزارش ارزی'!$AF$8:$AF$9818,"4",'ریز گزارش ارزی'!$H$8:$H$9818,B130,'ریز گزارش ارزی'!$F$8:$F$9818,C130,'ریز گزارش ارزی'!$G$8:$G$9818,E130)</f>
        <v>0</v>
      </c>
    </row>
    <row r="131" spans="2:7">
      <c r="B131" s="147" t="s">
        <v>157</v>
      </c>
      <c r="C131" s="18" t="s">
        <v>156</v>
      </c>
      <c r="D131" s="15" t="s">
        <v>83</v>
      </c>
      <c r="E131" s="16" t="s">
        <v>0</v>
      </c>
      <c r="F131" s="17">
        <f>SUMIFS('ریز گزارش ارزی'!$AC$8:$AC$9818,'ریز گزارش ارزی'!$AC$8:$AC$9818,"&gt;0",'ریز گزارش ارزی'!$AF$8:$AF$9818,"4",'ریز گزارش ارزی'!$H$8:$H$9818,B131,'ریز گزارش ارزی'!$F$8:$F$9818,C131,'ریز گزارش ارزی'!$G$8:$G$9818,E131)</f>
        <v>0</v>
      </c>
      <c r="G131" s="17">
        <f>SUMIFS('ریز گزارش ارزی'!$AD$8:$AD$9818,'ریز گزارش ارزی'!$AD$8:$AD$9818,"&gt;0",'ریز گزارش ارزی'!$AF$8:$AF$9818,"4",'ریز گزارش ارزی'!$H$8:$H$9818,B131,'ریز گزارش ارزی'!$F$8:$F$9818,C131,'ریز گزارش ارزی'!$G$8:$G$9818,E131)</f>
        <v>0</v>
      </c>
    </row>
    <row r="132" spans="2:7">
      <c r="B132" s="147" t="s">
        <v>157</v>
      </c>
      <c r="C132" s="18" t="s">
        <v>156</v>
      </c>
      <c r="D132" s="15" t="s">
        <v>83</v>
      </c>
      <c r="E132" s="16" t="s">
        <v>1</v>
      </c>
      <c r="F132" s="17">
        <f>SUMIFS('ریز گزارش ارزی'!$AC$8:$AC$9818,'ریز گزارش ارزی'!$AC$8:$AC$9818,"&gt;0",'ریز گزارش ارزی'!$AF$8:$AF$9818,"4",'ریز گزارش ارزی'!$H$8:$H$9818,B132,'ریز گزارش ارزی'!$F$8:$F$9818,C132,'ریز گزارش ارزی'!$G$8:$G$9818,E132)</f>
        <v>0</v>
      </c>
      <c r="G132" s="17">
        <f>SUMIFS('ریز گزارش ارزی'!$AD$8:$AD$9818,'ریز گزارش ارزی'!$AD$8:$AD$9818,"&gt;0",'ریز گزارش ارزی'!$AF$8:$AF$9818,"4",'ریز گزارش ارزی'!$H$8:$H$9818,B132,'ریز گزارش ارزی'!$F$8:$F$9818,C132,'ریز گزارش ارزی'!$G$8:$G$9818,E132)</f>
        <v>0</v>
      </c>
    </row>
    <row r="133" spans="2:7">
      <c r="B133" s="147" t="s">
        <v>157</v>
      </c>
      <c r="C133" s="18" t="s">
        <v>156</v>
      </c>
      <c r="D133" s="15" t="s">
        <v>83</v>
      </c>
      <c r="E133" s="16" t="s">
        <v>3</v>
      </c>
      <c r="F133" s="17">
        <f>SUMIFS('ریز گزارش ارزی'!$AC$8:$AC$9818,'ریز گزارش ارزی'!$AC$8:$AC$9818,"&gt;0",'ریز گزارش ارزی'!$AF$8:$AF$9818,"4",'ریز گزارش ارزی'!$H$8:$H$9818,B133,'ریز گزارش ارزی'!$F$8:$F$9818,C133,'ریز گزارش ارزی'!$G$8:$G$9818,E133)</f>
        <v>0</v>
      </c>
      <c r="G133" s="17">
        <f>SUMIFS('ریز گزارش ارزی'!$AD$8:$AD$9818,'ریز گزارش ارزی'!$AD$8:$AD$9818,"&gt;0",'ریز گزارش ارزی'!$AF$8:$AF$9818,"4",'ریز گزارش ارزی'!$H$8:$H$9818,B133,'ریز گزارش ارزی'!$F$8:$F$9818,C133,'ریز گزارش ارزی'!$G$8:$G$9818,E133)</f>
        <v>0</v>
      </c>
    </row>
    <row r="134" spans="2:7">
      <c r="B134" s="147" t="s">
        <v>157</v>
      </c>
      <c r="C134" s="18" t="s">
        <v>156</v>
      </c>
      <c r="D134" s="15" t="s">
        <v>83</v>
      </c>
      <c r="E134" s="16" t="s">
        <v>9</v>
      </c>
      <c r="F134" s="17">
        <f>SUMIFS('ریز گزارش ارزی'!$AC$8:$AC$9818,'ریز گزارش ارزی'!$AC$8:$AC$9818,"&gt;0",'ریز گزارش ارزی'!$AF$8:$AF$9818,"4",'ریز گزارش ارزی'!$H$8:$H$9818,B134,'ریز گزارش ارزی'!$F$8:$F$9818,C134,'ریز گزارش ارزی'!$G$8:$G$9818,E134)</f>
        <v>0</v>
      </c>
      <c r="G134" s="17">
        <f>SUMIFS('ریز گزارش ارزی'!$AD$8:$AD$9818,'ریز گزارش ارزی'!$AD$8:$AD$9818,"&gt;0",'ریز گزارش ارزی'!$AF$8:$AF$9818,"4",'ریز گزارش ارزی'!$H$8:$H$9818,B134,'ریز گزارش ارزی'!$F$8:$F$9818,C134,'ریز گزارش ارزی'!$G$8:$G$9818,E134)</f>
        <v>0</v>
      </c>
    </row>
    <row r="135" spans="2:7">
      <c r="B135" s="147" t="s">
        <v>157</v>
      </c>
      <c r="C135" s="18" t="s">
        <v>156</v>
      </c>
      <c r="D135" s="15" t="s">
        <v>83</v>
      </c>
      <c r="E135" s="16" t="s">
        <v>14</v>
      </c>
      <c r="F135" s="17">
        <f>SUMIFS('ریز گزارش ارزی'!$AC$8:$AC$9818,'ریز گزارش ارزی'!$AC$8:$AC$9818,"&gt;0",'ریز گزارش ارزی'!$AF$8:$AF$9818,"4",'ریز گزارش ارزی'!$H$8:$H$9818,B135,'ریز گزارش ارزی'!$F$8:$F$9818,C135,'ریز گزارش ارزی'!$G$8:$G$9818,E135)</f>
        <v>0</v>
      </c>
      <c r="G135" s="17">
        <f>SUMIFS('ریز گزارش ارزی'!$AD$8:$AD$9818,'ریز گزارش ارزی'!$AD$8:$AD$9818,"&gt;0",'ریز گزارش ارزی'!$AF$8:$AF$9818,"4",'ریز گزارش ارزی'!$H$8:$H$9818,B135,'ریز گزارش ارزی'!$F$8:$F$9818,C135,'ریز گزارش ارزی'!$G$8:$G$9818,E135)</f>
        <v>0</v>
      </c>
    </row>
    <row r="136" spans="2:7">
      <c r="B136" s="147" t="s">
        <v>157</v>
      </c>
      <c r="C136" s="18" t="s">
        <v>156</v>
      </c>
      <c r="D136" s="15" t="s">
        <v>83</v>
      </c>
      <c r="E136" s="16" t="s">
        <v>5</v>
      </c>
      <c r="F136" s="17">
        <f>SUMIFS('ریز گزارش ارزی'!$AC$8:$AC$9818,'ریز گزارش ارزی'!$AC$8:$AC$9818,"&gt;0",'ریز گزارش ارزی'!$AF$8:$AF$9818,"4",'ریز گزارش ارزی'!$H$8:$H$9818,B136,'ریز گزارش ارزی'!$F$8:$F$9818,C136,'ریز گزارش ارزی'!$G$8:$G$9818,E136)</f>
        <v>0</v>
      </c>
      <c r="G136" s="17">
        <f>SUMIFS('ریز گزارش ارزی'!$AD$8:$AD$9818,'ریز گزارش ارزی'!$AD$8:$AD$9818,"&gt;0",'ریز گزارش ارزی'!$AF$8:$AF$9818,"4",'ریز گزارش ارزی'!$H$8:$H$9818,B136,'ریز گزارش ارزی'!$F$8:$F$9818,C136,'ریز گزارش ارزی'!$G$8:$G$9818,E136)</f>
        <v>0</v>
      </c>
    </row>
    <row r="137" spans="2:7">
      <c r="B137" s="150" t="s">
        <v>158</v>
      </c>
      <c r="C137" s="18" t="s">
        <v>156</v>
      </c>
      <c r="D137" s="19" t="s">
        <v>83</v>
      </c>
      <c r="E137" s="148" t="s">
        <v>6</v>
      </c>
      <c r="F137" s="21">
        <f>SUMIFS('ریز گزارش ارزی'!$AC$8:$AC$9818,'ریز گزارش ارزی'!$AC$8:$AC$9818,"&gt;0",'ریز گزارش ارزی'!$AF$8:$AF$9818,"4",'ریز گزارش ارزی'!$H$8:$H$9818,B137,'ریز گزارش ارزی'!$F$8:$F$9818,C137,'ریز گزارش ارزی'!$G$8:$G$9818,E137)</f>
        <v>0</v>
      </c>
      <c r="G137" s="21">
        <f>SUMIFS('ریز گزارش ارزی'!$AD$8:$AD$9818,'ریز گزارش ارزی'!$AD$8:$AD$9818,"&gt;0",'ریز گزارش ارزی'!$AF$8:$AF$9818,"4",'ریز گزارش ارزی'!$H$8:$H$9818,B137,'ریز گزارش ارزی'!$F$8:$F$9818,C137,'ریز گزارش ارزی'!$G$8:$G$9818,E137)</f>
        <v>0</v>
      </c>
    </row>
    <row r="138" spans="2:7">
      <c r="B138" s="150" t="s">
        <v>158</v>
      </c>
      <c r="C138" s="18" t="s">
        <v>156</v>
      </c>
      <c r="D138" s="19" t="s">
        <v>83</v>
      </c>
      <c r="E138" s="148" t="s">
        <v>0</v>
      </c>
      <c r="F138" s="21">
        <f>SUMIFS('ریز گزارش ارزی'!$AC$8:$AC$9818,'ریز گزارش ارزی'!$AC$8:$AC$9818,"&gt;0",'ریز گزارش ارزی'!$AF$8:$AF$9818,"4",'ریز گزارش ارزی'!$H$8:$H$9818,B138,'ریز گزارش ارزی'!$F$8:$F$9818,C138,'ریز گزارش ارزی'!$G$8:$G$9818,E138)</f>
        <v>0</v>
      </c>
      <c r="G138" s="21">
        <f>SUMIFS('ریز گزارش ارزی'!$AD$8:$AD$9818,'ریز گزارش ارزی'!$AD$8:$AD$9818,"&gt;0",'ریز گزارش ارزی'!$AF$8:$AF$9818,"4",'ریز گزارش ارزی'!$H$8:$H$9818,B138,'ریز گزارش ارزی'!$F$8:$F$9818,C138,'ریز گزارش ارزی'!$G$8:$G$9818,E138)</f>
        <v>0</v>
      </c>
    </row>
    <row r="139" spans="2:7">
      <c r="B139" s="150" t="s">
        <v>158</v>
      </c>
      <c r="C139" s="18" t="s">
        <v>156</v>
      </c>
      <c r="D139" s="19" t="s">
        <v>83</v>
      </c>
      <c r="E139" s="148" t="s">
        <v>1</v>
      </c>
      <c r="F139" s="21">
        <f>SUMIFS('ریز گزارش ارزی'!$AC$8:$AC$9818,'ریز گزارش ارزی'!$AC$8:$AC$9818,"&gt;0",'ریز گزارش ارزی'!$AF$8:$AF$9818,"4",'ریز گزارش ارزی'!$H$8:$H$9818,B139,'ریز گزارش ارزی'!$F$8:$F$9818,C139,'ریز گزارش ارزی'!$G$8:$G$9818,E139)</f>
        <v>0</v>
      </c>
      <c r="G139" s="21">
        <f>SUMIFS('ریز گزارش ارزی'!$AD$8:$AD$9818,'ریز گزارش ارزی'!$AD$8:$AD$9818,"&gt;0",'ریز گزارش ارزی'!$AF$8:$AF$9818,"4",'ریز گزارش ارزی'!$H$8:$H$9818,B139,'ریز گزارش ارزی'!$F$8:$F$9818,C139,'ریز گزارش ارزی'!$G$8:$G$9818,E139)</f>
        <v>0</v>
      </c>
    </row>
    <row r="140" spans="2:7">
      <c r="B140" s="150" t="s">
        <v>158</v>
      </c>
      <c r="C140" s="18" t="s">
        <v>156</v>
      </c>
      <c r="D140" s="19" t="s">
        <v>83</v>
      </c>
      <c r="E140" s="148" t="s">
        <v>3</v>
      </c>
      <c r="F140" s="21">
        <f>SUMIFS('ریز گزارش ارزی'!$AC$8:$AC$9818,'ریز گزارش ارزی'!$AC$8:$AC$9818,"&gt;0",'ریز گزارش ارزی'!$AF$8:$AF$9818,"4",'ریز گزارش ارزی'!$H$8:$H$9818,B140,'ریز گزارش ارزی'!$F$8:$F$9818,C140,'ریز گزارش ارزی'!$G$8:$G$9818,E140)</f>
        <v>0</v>
      </c>
      <c r="G140" s="21">
        <f>SUMIFS('ریز گزارش ارزی'!$AD$8:$AD$9818,'ریز گزارش ارزی'!$AD$8:$AD$9818,"&gt;0",'ریز گزارش ارزی'!$AF$8:$AF$9818,"4",'ریز گزارش ارزی'!$H$8:$H$9818,B140,'ریز گزارش ارزی'!$F$8:$F$9818,C140,'ریز گزارش ارزی'!$G$8:$G$9818,E140)</f>
        <v>0</v>
      </c>
    </row>
    <row r="141" spans="2:7">
      <c r="B141" s="150" t="s">
        <v>158</v>
      </c>
      <c r="C141" s="18" t="s">
        <v>156</v>
      </c>
      <c r="D141" s="19" t="s">
        <v>83</v>
      </c>
      <c r="E141" s="148" t="s">
        <v>9</v>
      </c>
      <c r="F141" s="21">
        <f>SUMIFS('ریز گزارش ارزی'!$AC$8:$AC$9818,'ریز گزارش ارزی'!$AC$8:$AC$9818,"&gt;0",'ریز گزارش ارزی'!$AF$8:$AF$9818,"4",'ریز گزارش ارزی'!$H$8:$H$9818,B141,'ریز گزارش ارزی'!$F$8:$F$9818,C141,'ریز گزارش ارزی'!$G$8:$G$9818,E141)</f>
        <v>0</v>
      </c>
      <c r="G141" s="21">
        <f>SUMIFS('ریز گزارش ارزی'!$AD$8:$AD$9818,'ریز گزارش ارزی'!$AD$8:$AD$9818,"&gt;0",'ریز گزارش ارزی'!$AF$8:$AF$9818,"4",'ریز گزارش ارزی'!$H$8:$H$9818,B141,'ریز گزارش ارزی'!$F$8:$F$9818,C141,'ریز گزارش ارزی'!$G$8:$G$9818,E141)</f>
        <v>0</v>
      </c>
    </row>
    <row r="142" spans="2:7">
      <c r="B142" s="150" t="s">
        <v>158</v>
      </c>
      <c r="C142" s="18" t="s">
        <v>156</v>
      </c>
      <c r="D142" s="19" t="s">
        <v>83</v>
      </c>
      <c r="E142" s="148" t="s">
        <v>14</v>
      </c>
      <c r="F142" s="21">
        <f>SUMIFS('ریز گزارش ارزی'!$AC$8:$AC$9818,'ریز گزارش ارزی'!$AC$8:$AC$9818,"&gt;0",'ریز گزارش ارزی'!$AF$8:$AF$9818,"4",'ریز گزارش ارزی'!$H$8:$H$9818,B142,'ریز گزارش ارزی'!$F$8:$F$9818,C142,'ریز گزارش ارزی'!$G$8:$G$9818,E142)</f>
        <v>0</v>
      </c>
      <c r="G142" s="21">
        <f>SUMIFS('ریز گزارش ارزی'!$AD$8:$AD$9818,'ریز گزارش ارزی'!$AD$8:$AD$9818,"&gt;0",'ریز گزارش ارزی'!$AF$8:$AF$9818,"4",'ریز گزارش ارزی'!$H$8:$H$9818,B142,'ریز گزارش ارزی'!$F$8:$F$9818,C142,'ریز گزارش ارزی'!$G$8:$G$9818,E142)</f>
        <v>0</v>
      </c>
    </row>
    <row r="143" spans="2:7">
      <c r="B143" s="150" t="s">
        <v>158</v>
      </c>
      <c r="C143" s="18" t="s">
        <v>156</v>
      </c>
      <c r="D143" s="19" t="s">
        <v>83</v>
      </c>
      <c r="E143" s="148" t="s">
        <v>5</v>
      </c>
      <c r="F143" s="21">
        <f>SUMIFS('ریز گزارش ارزی'!$AC$8:$AC$9818,'ریز گزارش ارزی'!$AC$8:$AC$9818,"&gt;0",'ریز گزارش ارزی'!$AF$8:$AF$9818,"4",'ریز گزارش ارزی'!$H$8:$H$9818,B143,'ریز گزارش ارزی'!$F$8:$F$9818,C143,'ریز گزارش ارزی'!$G$8:$G$9818,E143)</f>
        <v>0</v>
      </c>
      <c r="G143" s="21">
        <f>SUMIFS('ریز گزارش ارزی'!$AD$8:$AD$9818,'ریز گزارش ارزی'!$AD$8:$AD$9818,"&gt;0",'ریز گزارش ارزی'!$AF$8:$AF$9818,"4",'ریز گزارش ارزی'!$H$8:$H$9818,B143,'ریز گزارش ارزی'!$F$8:$F$9818,C143,'ریز گزارش ارزی'!$G$8:$G$9818,E143)</f>
        <v>0</v>
      </c>
    </row>
    <row r="144" spans="2:7">
      <c r="B144" s="147" t="s">
        <v>38</v>
      </c>
      <c r="C144" s="18" t="s">
        <v>156</v>
      </c>
      <c r="D144" s="15" t="s">
        <v>84</v>
      </c>
      <c r="E144" s="16" t="s">
        <v>6</v>
      </c>
      <c r="F144" s="17">
        <f>SUMIFS('ریز گزارش ارزی'!$AC$8:$AC$9818,'ریز گزارش ارزی'!$AC$8:$AC$9818,"&gt;0",'ریز گزارش ارزی'!$AF$8:$AF$9818,"5",'ریز گزارش ارزی'!$H$8:$H$9818,B144,'ریز گزارش ارزی'!$F$8:$F$9818,C144,'ریز گزارش ارزی'!$G$8:$G$9818,E144)</f>
        <v>0</v>
      </c>
      <c r="G144" s="17">
        <f>SUMIFS('ریز گزارش ارزی'!$AD$8:$AD$9818,'ریز گزارش ارزی'!$AD$8:$AD$9818,"&gt;0",'ریز گزارش ارزی'!$AF$8:$AF$9818,"5",'ریز گزارش ارزی'!$H$8:$H$9818,B144,'ریز گزارش ارزی'!$F$8:$F$9818,C144,'ریز گزارش ارزی'!$G$8:$G$9818,E144)</f>
        <v>0</v>
      </c>
    </row>
    <row r="145" spans="2:7">
      <c r="B145" s="147" t="s">
        <v>38</v>
      </c>
      <c r="C145" s="18" t="s">
        <v>156</v>
      </c>
      <c r="D145" s="15" t="s">
        <v>84</v>
      </c>
      <c r="E145" s="16" t="s">
        <v>0</v>
      </c>
      <c r="F145" s="17">
        <f>SUMIFS('ریز گزارش ارزی'!$AC$8:$AC$9818,'ریز گزارش ارزی'!$AC$8:$AC$9818,"&gt;0",'ریز گزارش ارزی'!$AF$8:$AF$9818,"5",'ریز گزارش ارزی'!$H$8:$H$9818,B145,'ریز گزارش ارزی'!$F$8:$F$9818,C145,'ریز گزارش ارزی'!$G$8:$G$9818,E145)</f>
        <v>0</v>
      </c>
      <c r="G145" s="17">
        <f>SUMIFS('ریز گزارش ارزی'!$AD$8:$AD$9818,'ریز گزارش ارزی'!$AD$8:$AD$9818,"&gt;0",'ریز گزارش ارزی'!$AF$8:$AF$9818,"5",'ریز گزارش ارزی'!$H$8:$H$9818,B145,'ریز گزارش ارزی'!$F$8:$F$9818,C145,'ریز گزارش ارزی'!$G$8:$G$9818,E145)</f>
        <v>0</v>
      </c>
    </row>
    <row r="146" spans="2:7">
      <c r="B146" s="147" t="s">
        <v>38</v>
      </c>
      <c r="C146" s="18" t="s">
        <v>156</v>
      </c>
      <c r="D146" s="15" t="s">
        <v>84</v>
      </c>
      <c r="E146" s="16" t="s">
        <v>1</v>
      </c>
      <c r="F146" s="17">
        <f>SUMIFS('ریز گزارش ارزی'!$AC$8:$AC$9818,'ریز گزارش ارزی'!$AC$8:$AC$9818,"&gt;0",'ریز گزارش ارزی'!$AF$8:$AF$9818,"5",'ریز گزارش ارزی'!$H$8:$H$9818,B146,'ریز گزارش ارزی'!$F$8:$F$9818,C146,'ریز گزارش ارزی'!$G$8:$G$9818,E146)</f>
        <v>0</v>
      </c>
      <c r="G146" s="17">
        <f>SUMIFS('ریز گزارش ارزی'!$AD$8:$AD$9818,'ریز گزارش ارزی'!$AD$8:$AD$9818,"&gt;0",'ریز گزارش ارزی'!$AF$8:$AF$9818,"5",'ریز گزارش ارزی'!$H$8:$H$9818,B146,'ریز گزارش ارزی'!$F$8:$F$9818,C146,'ریز گزارش ارزی'!$G$8:$G$9818,E146)</f>
        <v>0</v>
      </c>
    </row>
    <row r="147" spans="2:7">
      <c r="B147" s="147" t="s">
        <v>38</v>
      </c>
      <c r="C147" s="18" t="s">
        <v>156</v>
      </c>
      <c r="D147" s="15" t="s">
        <v>84</v>
      </c>
      <c r="E147" s="16" t="s">
        <v>3</v>
      </c>
      <c r="F147" s="17">
        <f>SUMIFS('ریز گزارش ارزی'!$AC$8:$AC$9818,'ریز گزارش ارزی'!$AC$8:$AC$9818,"&gt;0",'ریز گزارش ارزی'!$AF$8:$AF$9818,"5",'ریز گزارش ارزی'!$H$8:$H$9818,B147,'ریز گزارش ارزی'!$F$8:$F$9818,C147,'ریز گزارش ارزی'!$G$8:$G$9818,E147)</f>
        <v>0</v>
      </c>
      <c r="G147" s="17">
        <f>SUMIFS('ریز گزارش ارزی'!$AD$8:$AD$9818,'ریز گزارش ارزی'!$AD$8:$AD$9818,"&gt;0",'ریز گزارش ارزی'!$AF$8:$AF$9818,"5",'ریز گزارش ارزی'!$H$8:$H$9818,B147,'ریز گزارش ارزی'!$F$8:$F$9818,C147,'ریز گزارش ارزی'!$G$8:$G$9818,E147)</f>
        <v>0</v>
      </c>
    </row>
    <row r="148" spans="2:7">
      <c r="B148" s="147" t="s">
        <v>38</v>
      </c>
      <c r="C148" s="18" t="s">
        <v>156</v>
      </c>
      <c r="D148" s="15" t="s">
        <v>84</v>
      </c>
      <c r="E148" s="16" t="s">
        <v>9</v>
      </c>
      <c r="F148" s="17">
        <f>SUMIFS('ریز گزارش ارزی'!$AC$8:$AC$9818,'ریز گزارش ارزی'!$AC$8:$AC$9818,"&gt;0",'ریز گزارش ارزی'!$AF$8:$AF$9818,"5",'ریز گزارش ارزی'!$H$8:$H$9818,B148,'ریز گزارش ارزی'!$F$8:$F$9818,C148,'ریز گزارش ارزی'!$G$8:$G$9818,E148)</f>
        <v>0</v>
      </c>
      <c r="G148" s="17">
        <f>SUMIFS('ریز گزارش ارزی'!$AD$8:$AD$9818,'ریز گزارش ارزی'!$AD$8:$AD$9818,"&gt;0",'ریز گزارش ارزی'!$AF$8:$AF$9818,"5",'ریز گزارش ارزی'!$H$8:$H$9818,B148,'ریز گزارش ارزی'!$F$8:$F$9818,C148,'ریز گزارش ارزی'!$G$8:$G$9818,E148)</f>
        <v>0</v>
      </c>
    </row>
    <row r="149" spans="2:7">
      <c r="B149" s="147" t="s">
        <v>38</v>
      </c>
      <c r="C149" s="18" t="s">
        <v>156</v>
      </c>
      <c r="D149" s="15" t="s">
        <v>84</v>
      </c>
      <c r="E149" s="16" t="s">
        <v>14</v>
      </c>
      <c r="F149" s="17">
        <f>SUMIFS('ریز گزارش ارزی'!$AC$8:$AC$9818,'ریز گزارش ارزی'!$AC$8:$AC$9818,"&gt;0",'ریز گزارش ارزی'!$AF$8:$AF$9818,"5",'ریز گزارش ارزی'!$H$8:$H$9818,B149,'ریز گزارش ارزی'!$F$8:$F$9818,C149,'ریز گزارش ارزی'!$G$8:$G$9818,E149)</f>
        <v>0</v>
      </c>
      <c r="G149" s="17">
        <f>SUMIFS('ریز گزارش ارزی'!$AD$8:$AD$9818,'ریز گزارش ارزی'!$AD$8:$AD$9818,"&gt;0",'ریز گزارش ارزی'!$AF$8:$AF$9818,"5",'ریز گزارش ارزی'!$H$8:$H$9818,B149,'ریز گزارش ارزی'!$F$8:$F$9818,C149,'ریز گزارش ارزی'!$G$8:$G$9818,E149)</f>
        <v>0</v>
      </c>
    </row>
    <row r="150" spans="2:7">
      <c r="B150" s="147" t="s">
        <v>38</v>
      </c>
      <c r="C150" s="18" t="s">
        <v>156</v>
      </c>
      <c r="D150" s="15" t="s">
        <v>84</v>
      </c>
      <c r="E150" s="16" t="s">
        <v>5</v>
      </c>
      <c r="F150" s="17">
        <f>SUMIFS('ریز گزارش ارزی'!$AC$8:$AC$9818,'ریز گزارش ارزی'!$AC$8:$AC$9818,"&gt;0",'ریز گزارش ارزی'!$AF$8:$AF$9818,"5",'ریز گزارش ارزی'!$H$8:$H$9818,B150,'ریز گزارش ارزی'!$F$8:$F$9818,C150,'ریز گزارش ارزی'!$G$8:$G$9818,E150)</f>
        <v>0</v>
      </c>
      <c r="G150" s="17">
        <f>SUMIFS('ریز گزارش ارزی'!$AD$8:$AD$9818,'ریز گزارش ارزی'!$AD$8:$AD$9818,"&gt;0",'ریز گزارش ارزی'!$AF$8:$AF$9818,"5",'ریز گزارش ارزی'!$H$8:$H$9818,B150,'ریز گزارش ارزی'!$F$8:$F$9818,C150,'ریز گزارش ارزی'!$G$8:$G$9818,E150)</f>
        <v>0</v>
      </c>
    </row>
    <row r="151" spans="2:7">
      <c r="B151" s="18" t="s">
        <v>37</v>
      </c>
      <c r="C151" s="18" t="s">
        <v>156</v>
      </c>
      <c r="D151" s="19" t="s">
        <v>84</v>
      </c>
      <c r="E151" s="148" t="s">
        <v>6</v>
      </c>
      <c r="F151" s="21">
        <f>SUMIFS('ریز گزارش ارزی'!$AC$8:$AC$9818,'ریز گزارش ارزی'!$AC$8:$AC$9818,"&gt;0",'ریز گزارش ارزی'!$AF$8:$AF$9818,"5",'ریز گزارش ارزی'!$H$8:$H$9818,B151,'ریز گزارش ارزی'!$F$8:$F$9818,C151,'ریز گزارش ارزی'!$G$8:$G$9818,E151)</f>
        <v>0</v>
      </c>
      <c r="G151" s="21">
        <f>SUMIFS('ریز گزارش ارزی'!$AD$8:$AD$9818,'ریز گزارش ارزی'!$AD$8:$AD$9818,"&gt;0",'ریز گزارش ارزی'!$AF$8:$AF$9818,"5",'ریز گزارش ارزی'!$H$8:$H$9818,B151,'ریز گزارش ارزی'!$F$8:$F$9818,C151,'ریز گزارش ارزی'!$G$8:$G$9818,E151)</f>
        <v>0</v>
      </c>
    </row>
    <row r="152" spans="2:7">
      <c r="B152" s="18" t="s">
        <v>37</v>
      </c>
      <c r="C152" s="18" t="s">
        <v>156</v>
      </c>
      <c r="D152" s="19" t="s">
        <v>84</v>
      </c>
      <c r="E152" s="148" t="s">
        <v>0</v>
      </c>
      <c r="F152" s="21">
        <f>SUMIFS('ریز گزارش ارزی'!$AC$8:$AC$9818,'ریز گزارش ارزی'!$AC$8:$AC$9818,"&gt;0",'ریز گزارش ارزی'!$AF$8:$AF$9818,"5",'ریز گزارش ارزی'!$H$8:$H$9818,B152,'ریز گزارش ارزی'!$F$8:$F$9818,C152,'ریز گزارش ارزی'!$G$8:$G$9818,E152)</f>
        <v>0</v>
      </c>
      <c r="G152" s="21">
        <f>SUMIFS('ریز گزارش ارزی'!$AD$8:$AD$9818,'ریز گزارش ارزی'!$AD$8:$AD$9818,"&gt;0",'ریز گزارش ارزی'!$AF$8:$AF$9818,"5",'ریز گزارش ارزی'!$H$8:$H$9818,B152,'ریز گزارش ارزی'!$F$8:$F$9818,C152,'ریز گزارش ارزی'!$G$8:$G$9818,E152)</f>
        <v>0</v>
      </c>
    </row>
    <row r="153" spans="2:7">
      <c r="B153" s="18" t="s">
        <v>37</v>
      </c>
      <c r="C153" s="18" t="s">
        <v>156</v>
      </c>
      <c r="D153" s="19" t="s">
        <v>84</v>
      </c>
      <c r="E153" s="148" t="s">
        <v>1</v>
      </c>
      <c r="F153" s="21">
        <f>SUMIFS('ریز گزارش ارزی'!$AC$8:$AC$9818,'ریز گزارش ارزی'!$AC$8:$AC$9818,"&gt;0",'ریز گزارش ارزی'!$AF$8:$AF$9818,"5",'ریز گزارش ارزی'!$H$8:$H$9818,B153,'ریز گزارش ارزی'!$F$8:$F$9818,C153,'ریز گزارش ارزی'!$G$8:$G$9818,E153)</f>
        <v>0</v>
      </c>
      <c r="G153" s="21">
        <f>SUMIFS('ریز گزارش ارزی'!$AD$8:$AD$9818,'ریز گزارش ارزی'!$AD$8:$AD$9818,"&gt;0",'ریز گزارش ارزی'!$AF$8:$AF$9818,"5",'ریز گزارش ارزی'!$H$8:$H$9818,B153,'ریز گزارش ارزی'!$F$8:$F$9818,C153,'ریز گزارش ارزی'!$G$8:$G$9818,E153)</f>
        <v>0</v>
      </c>
    </row>
    <row r="154" spans="2:7">
      <c r="B154" s="18" t="s">
        <v>37</v>
      </c>
      <c r="C154" s="18" t="s">
        <v>156</v>
      </c>
      <c r="D154" s="19" t="s">
        <v>84</v>
      </c>
      <c r="E154" s="148" t="s">
        <v>3</v>
      </c>
      <c r="F154" s="21">
        <f>SUMIFS('ریز گزارش ارزی'!$AC$8:$AC$9818,'ریز گزارش ارزی'!$AC$8:$AC$9818,"&gt;0",'ریز گزارش ارزی'!$AF$8:$AF$9818,"5",'ریز گزارش ارزی'!$H$8:$H$9818,B154,'ریز گزارش ارزی'!$F$8:$F$9818,C154,'ریز گزارش ارزی'!$G$8:$G$9818,E154)</f>
        <v>0</v>
      </c>
      <c r="G154" s="21">
        <f>SUMIFS('ریز گزارش ارزی'!$AD$8:$AD$9818,'ریز گزارش ارزی'!$AD$8:$AD$9818,"&gt;0",'ریز گزارش ارزی'!$AF$8:$AF$9818,"5",'ریز گزارش ارزی'!$H$8:$H$9818,B154,'ریز گزارش ارزی'!$F$8:$F$9818,C154,'ریز گزارش ارزی'!$G$8:$G$9818,E154)</f>
        <v>0</v>
      </c>
    </row>
    <row r="155" spans="2:7">
      <c r="B155" s="18" t="s">
        <v>37</v>
      </c>
      <c r="C155" s="18" t="s">
        <v>156</v>
      </c>
      <c r="D155" s="19" t="s">
        <v>84</v>
      </c>
      <c r="E155" s="148" t="s">
        <v>9</v>
      </c>
      <c r="F155" s="21">
        <f>SUMIFS('ریز گزارش ارزی'!$AC$8:$AC$9818,'ریز گزارش ارزی'!$AC$8:$AC$9818,"&gt;0",'ریز گزارش ارزی'!$AF$8:$AF$9818,"5",'ریز گزارش ارزی'!$H$8:$H$9818,B155,'ریز گزارش ارزی'!$F$8:$F$9818,C155,'ریز گزارش ارزی'!$G$8:$G$9818,E155)</f>
        <v>0</v>
      </c>
      <c r="G155" s="21">
        <f>SUMIFS('ریز گزارش ارزی'!$AD$8:$AD$9818,'ریز گزارش ارزی'!$AD$8:$AD$9818,"&gt;0",'ریز گزارش ارزی'!$AF$8:$AF$9818,"5",'ریز گزارش ارزی'!$H$8:$H$9818,B155,'ریز گزارش ارزی'!$F$8:$F$9818,C155,'ریز گزارش ارزی'!$G$8:$G$9818,E155)</f>
        <v>0</v>
      </c>
    </row>
    <row r="156" spans="2:7">
      <c r="B156" s="18" t="s">
        <v>37</v>
      </c>
      <c r="C156" s="18" t="s">
        <v>156</v>
      </c>
      <c r="D156" s="19" t="s">
        <v>84</v>
      </c>
      <c r="E156" s="148" t="s">
        <v>14</v>
      </c>
      <c r="F156" s="21">
        <f>SUMIFS('ریز گزارش ارزی'!$AC$8:$AC$9818,'ریز گزارش ارزی'!$AC$8:$AC$9818,"&gt;0",'ریز گزارش ارزی'!$AF$8:$AF$9818,"5",'ریز گزارش ارزی'!$H$8:$H$9818,B156,'ریز گزارش ارزی'!$F$8:$F$9818,C156,'ریز گزارش ارزی'!$G$8:$G$9818,E156)</f>
        <v>0</v>
      </c>
      <c r="G156" s="21">
        <f>SUMIFS('ریز گزارش ارزی'!$AD$8:$AD$9818,'ریز گزارش ارزی'!$AD$8:$AD$9818,"&gt;0",'ریز گزارش ارزی'!$AF$8:$AF$9818,"5",'ریز گزارش ارزی'!$H$8:$H$9818,B156,'ریز گزارش ارزی'!$F$8:$F$9818,C156,'ریز گزارش ارزی'!$G$8:$G$9818,E156)</f>
        <v>0</v>
      </c>
    </row>
    <row r="157" spans="2:7">
      <c r="B157" s="18" t="s">
        <v>37</v>
      </c>
      <c r="C157" s="18" t="s">
        <v>156</v>
      </c>
      <c r="D157" s="19" t="s">
        <v>84</v>
      </c>
      <c r="E157" s="148" t="s">
        <v>5</v>
      </c>
      <c r="F157" s="21">
        <f>SUMIFS('ریز گزارش ارزی'!$AC$8:$AC$9818,'ریز گزارش ارزی'!$AC$8:$AC$9818,"&gt;0",'ریز گزارش ارزی'!$AF$8:$AF$9818,"5",'ریز گزارش ارزی'!$H$8:$H$9818,B157,'ریز گزارش ارزی'!$F$8:$F$9818,C157,'ریز گزارش ارزی'!$G$8:$G$9818,E157)</f>
        <v>0</v>
      </c>
      <c r="G157" s="21">
        <f>SUMIFS('ریز گزارش ارزی'!$AD$8:$AD$9818,'ریز گزارش ارزی'!$AD$8:$AD$9818,"&gt;0",'ریز گزارش ارزی'!$AF$8:$AF$9818,"5",'ریز گزارش ارزی'!$H$8:$H$9818,B157,'ریز گزارش ارزی'!$F$8:$F$9818,C157,'ریز گزارش ارزی'!$G$8:$G$9818,E157)</f>
        <v>0</v>
      </c>
    </row>
    <row r="158" spans="2:7">
      <c r="B158" s="147" t="s">
        <v>157</v>
      </c>
      <c r="C158" s="18" t="s">
        <v>156</v>
      </c>
      <c r="D158" s="15" t="s">
        <v>84</v>
      </c>
      <c r="E158" s="16" t="s">
        <v>6</v>
      </c>
      <c r="F158" s="17">
        <f>SUMIFS('ریز گزارش ارزی'!$AC$8:$AC$9818,'ریز گزارش ارزی'!$AC$8:$AC$9818,"&gt;0",'ریز گزارش ارزی'!$AF$8:$AF$9818,"5",'ریز گزارش ارزی'!$H$8:$H$9818,B158,'ریز گزارش ارزی'!$F$8:$F$9818,C158,'ریز گزارش ارزی'!$G$8:$G$9818,E158)</f>
        <v>0</v>
      </c>
      <c r="G158" s="17">
        <f>SUMIFS('ریز گزارش ارزی'!$AD$8:$AD$9818,'ریز گزارش ارزی'!$AD$8:$AD$9818,"&gt;0",'ریز گزارش ارزی'!$AF$8:$AF$9818,"5",'ریز گزارش ارزی'!$H$8:$H$9818,B158,'ریز گزارش ارزی'!$F$8:$F$9818,C158,'ریز گزارش ارزی'!$G$8:$G$9818,E158)</f>
        <v>0</v>
      </c>
    </row>
    <row r="159" spans="2:7">
      <c r="B159" s="147" t="s">
        <v>157</v>
      </c>
      <c r="C159" s="18" t="s">
        <v>156</v>
      </c>
      <c r="D159" s="15" t="s">
        <v>84</v>
      </c>
      <c r="E159" s="16" t="s">
        <v>0</v>
      </c>
      <c r="F159" s="17">
        <f>SUMIFS('ریز گزارش ارزی'!$AC$8:$AC$9818,'ریز گزارش ارزی'!$AC$8:$AC$9818,"&gt;0",'ریز گزارش ارزی'!$AF$8:$AF$9818,"5",'ریز گزارش ارزی'!$H$8:$H$9818,B159,'ریز گزارش ارزی'!$F$8:$F$9818,C159,'ریز گزارش ارزی'!$G$8:$G$9818,E159)</f>
        <v>0</v>
      </c>
      <c r="G159" s="17">
        <f>SUMIFS('ریز گزارش ارزی'!$AD$8:$AD$9818,'ریز گزارش ارزی'!$AD$8:$AD$9818,"&gt;0",'ریز گزارش ارزی'!$AF$8:$AF$9818,"5",'ریز گزارش ارزی'!$H$8:$H$9818,B159,'ریز گزارش ارزی'!$F$8:$F$9818,C159,'ریز گزارش ارزی'!$G$8:$G$9818,E159)</f>
        <v>0</v>
      </c>
    </row>
    <row r="160" spans="2:7">
      <c r="B160" s="147" t="s">
        <v>157</v>
      </c>
      <c r="C160" s="18" t="s">
        <v>156</v>
      </c>
      <c r="D160" s="15" t="s">
        <v>84</v>
      </c>
      <c r="E160" s="16" t="s">
        <v>1</v>
      </c>
      <c r="F160" s="17">
        <f>SUMIFS('ریز گزارش ارزی'!$AC$8:$AC$9818,'ریز گزارش ارزی'!$AC$8:$AC$9818,"&gt;0",'ریز گزارش ارزی'!$AF$8:$AF$9818,"5",'ریز گزارش ارزی'!$H$8:$H$9818,B160,'ریز گزارش ارزی'!$F$8:$F$9818,C160,'ریز گزارش ارزی'!$G$8:$G$9818,E160)</f>
        <v>0</v>
      </c>
      <c r="G160" s="17">
        <f>SUMIFS('ریز گزارش ارزی'!$AD$8:$AD$9818,'ریز گزارش ارزی'!$AD$8:$AD$9818,"&gt;0",'ریز گزارش ارزی'!$AF$8:$AF$9818,"5",'ریز گزارش ارزی'!$H$8:$H$9818,B160,'ریز گزارش ارزی'!$F$8:$F$9818,C160,'ریز گزارش ارزی'!$G$8:$G$9818,E160)</f>
        <v>0</v>
      </c>
    </row>
    <row r="161" spans="2:7">
      <c r="B161" s="147" t="s">
        <v>157</v>
      </c>
      <c r="C161" s="18" t="s">
        <v>156</v>
      </c>
      <c r="D161" s="15" t="s">
        <v>84</v>
      </c>
      <c r="E161" s="16" t="s">
        <v>3</v>
      </c>
      <c r="F161" s="17">
        <f>SUMIFS('ریز گزارش ارزی'!$AC$8:$AC$9818,'ریز گزارش ارزی'!$AC$8:$AC$9818,"&gt;0",'ریز گزارش ارزی'!$AF$8:$AF$9818,"5",'ریز گزارش ارزی'!$H$8:$H$9818,B161,'ریز گزارش ارزی'!$F$8:$F$9818,C161,'ریز گزارش ارزی'!$G$8:$G$9818,E161)</f>
        <v>0</v>
      </c>
      <c r="G161" s="17">
        <f>SUMIFS('ریز گزارش ارزی'!$AD$8:$AD$9818,'ریز گزارش ارزی'!$AD$8:$AD$9818,"&gt;0",'ریز گزارش ارزی'!$AF$8:$AF$9818,"5",'ریز گزارش ارزی'!$H$8:$H$9818,B161,'ریز گزارش ارزی'!$F$8:$F$9818,C161,'ریز گزارش ارزی'!$G$8:$G$9818,E161)</f>
        <v>0</v>
      </c>
    </row>
    <row r="162" spans="2:7">
      <c r="B162" s="147" t="s">
        <v>157</v>
      </c>
      <c r="C162" s="18" t="s">
        <v>156</v>
      </c>
      <c r="D162" s="15" t="s">
        <v>84</v>
      </c>
      <c r="E162" s="16" t="s">
        <v>9</v>
      </c>
      <c r="F162" s="17">
        <f>SUMIFS('ریز گزارش ارزی'!$AC$8:$AC$9818,'ریز گزارش ارزی'!$AC$8:$AC$9818,"&gt;0",'ریز گزارش ارزی'!$AF$8:$AF$9818,"5",'ریز گزارش ارزی'!$H$8:$H$9818,B162,'ریز گزارش ارزی'!$F$8:$F$9818,C162,'ریز گزارش ارزی'!$G$8:$G$9818,E162)</f>
        <v>0</v>
      </c>
      <c r="G162" s="17">
        <f>SUMIFS('ریز گزارش ارزی'!$AD$8:$AD$9818,'ریز گزارش ارزی'!$AD$8:$AD$9818,"&gt;0",'ریز گزارش ارزی'!$AF$8:$AF$9818,"5",'ریز گزارش ارزی'!$H$8:$H$9818,B162,'ریز گزارش ارزی'!$F$8:$F$9818,C162,'ریز گزارش ارزی'!$G$8:$G$9818,E162)</f>
        <v>0</v>
      </c>
    </row>
    <row r="163" spans="2:7">
      <c r="B163" s="147" t="s">
        <v>157</v>
      </c>
      <c r="C163" s="18" t="s">
        <v>156</v>
      </c>
      <c r="D163" s="15" t="s">
        <v>84</v>
      </c>
      <c r="E163" s="16" t="s">
        <v>14</v>
      </c>
      <c r="F163" s="17">
        <f>SUMIFS('ریز گزارش ارزی'!$AC$8:$AC$9818,'ریز گزارش ارزی'!$AC$8:$AC$9818,"&gt;0",'ریز گزارش ارزی'!$AF$8:$AF$9818,"5",'ریز گزارش ارزی'!$H$8:$H$9818,B163,'ریز گزارش ارزی'!$F$8:$F$9818,C163,'ریز گزارش ارزی'!$G$8:$G$9818,E163)</f>
        <v>0</v>
      </c>
      <c r="G163" s="17">
        <f>SUMIFS('ریز گزارش ارزی'!$AD$8:$AD$9818,'ریز گزارش ارزی'!$AD$8:$AD$9818,"&gt;0",'ریز گزارش ارزی'!$AF$8:$AF$9818,"5",'ریز گزارش ارزی'!$H$8:$H$9818,B163,'ریز گزارش ارزی'!$F$8:$F$9818,C163,'ریز گزارش ارزی'!$G$8:$G$9818,E163)</f>
        <v>0</v>
      </c>
    </row>
    <row r="164" spans="2:7">
      <c r="B164" s="147" t="s">
        <v>157</v>
      </c>
      <c r="C164" s="18" t="s">
        <v>156</v>
      </c>
      <c r="D164" s="15" t="s">
        <v>84</v>
      </c>
      <c r="E164" s="16" t="s">
        <v>5</v>
      </c>
      <c r="F164" s="17">
        <f>SUMIFS('ریز گزارش ارزی'!$AC$8:$AC$9818,'ریز گزارش ارزی'!$AC$8:$AC$9818,"&gt;0",'ریز گزارش ارزی'!$AF$8:$AF$9818,"5",'ریز گزارش ارزی'!$H$8:$H$9818,B164,'ریز گزارش ارزی'!$F$8:$F$9818,C164,'ریز گزارش ارزی'!$G$8:$G$9818,E164)</f>
        <v>0</v>
      </c>
      <c r="G164" s="17">
        <f>SUMIFS('ریز گزارش ارزی'!$AD$8:$AD$9818,'ریز گزارش ارزی'!$AD$8:$AD$9818,"&gt;0",'ریز گزارش ارزی'!$AF$8:$AF$9818,"5",'ریز گزارش ارزی'!$H$8:$H$9818,B164,'ریز گزارش ارزی'!$F$8:$F$9818,C164,'ریز گزارش ارزی'!$G$8:$G$9818,E164)</f>
        <v>0</v>
      </c>
    </row>
    <row r="165" spans="2:7">
      <c r="B165" s="150" t="s">
        <v>158</v>
      </c>
      <c r="C165" s="18" t="s">
        <v>156</v>
      </c>
      <c r="D165" s="19" t="s">
        <v>84</v>
      </c>
      <c r="E165" s="148" t="s">
        <v>6</v>
      </c>
      <c r="F165" s="21">
        <f>SUMIFS('ریز گزارش ارزی'!$AC$8:$AC$9818,'ریز گزارش ارزی'!$AC$8:$AC$9818,"&gt;0",'ریز گزارش ارزی'!$AF$8:$AF$9818,"5",'ریز گزارش ارزی'!$H$8:$H$9818,B165,'ریز گزارش ارزی'!$F$8:$F$9818,C165,'ریز گزارش ارزی'!$G$8:$G$9818,E165)</f>
        <v>0</v>
      </c>
      <c r="G165" s="21">
        <f>SUMIFS('ریز گزارش ارزی'!$AD$8:$AD$9818,'ریز گزارش ارزی'!$AD$8:$AD$9818,"&gt;0",'ریز گزارش ارزی'!$AF$8:$AF$9818,"5",'ریز گزارش ارزی'!$H$8:$H$9818,B165,'ریز گزارش ارزی'!$F$8:$F$9818,C165,'ریز گزارش ارزی'!$G$8:$G$9818,E165)</f>
        <v>0</v>
      </c>
    </row>
    <row r="166" spans="2:7">
      <c r="B166" s="150" t="s">
        <v>158</v>
      </c>
      <c r="C166" s="18" t="s">
        <v>156</v>
      </c>
      <c r="D166" s="19" t="s">
        <v>84</v>
      </c>
      <c r="E166" s="148" t="s">
        <v>0</v>
      </c>
      <c r="F166" s="21">
        <f>SUMIFS('ریز گزارش ارزی'!$AC$8:$AC$9818,'ریز گزارش ارزی'!$AC$8:$AC$9818,"&gt;0",'ریز گزارش ارزی'!$AF$8:$AF$9818,"5",'ریز گزارش ارزی'!$H$8:$H$9818,B166,'ریز گزارش ارزی'!$F$8:$F$9818,C166,'ریز گزارش ارزی'!$G$8:$G$9818,E166)</f>
        <v>0</v>
      </c>
      <c r="G166" s="21">
        <f>SUMIFS('ریز گزارش ارزی'!$AD$8:$AD$9818,'ریز گزارش ارزی'!$AD$8:$AD$9818,"&gt;0",'ریز گزارش ارزی'!$AF$8:$AF$9818,"5",'ریز گزارش ارزی'!$H$8:$H$9818,B166,'ریز گزارش ارزی'!$F$8:$F$9818,C166,'ریز گزارش ارزی'!$G$8:$G$9818,E166)</f>
        <v>0</v>
      </c>
    </row>
    <row r="167" spans="2:7">
      <c r="B167" s="150" t="s">
        <v>158</v>
      </c>
      <c r="C167" s="18" t="s">
        <v>156</v>
      </c>
      <c r="D167" s="19" t="s">
        <v>84</v>
      </c>
      <c r="E167" s="148" t="s">
        <v>1</v>
      </c>
      <c r="F167" s="21">
        <f>SUMIFS('ریز گزارش ارزی'!$AC$8:$AC$9818,'ریز گزارش ارزی'!$AC$8:$AC$9818,"&gt;0",'ریز گزارش ارزی'!$AF$8:$AF$9818,"5",'ریز گزارش ارزی'!$H$8:$H$9818,B167,'ریز گزارش ارزی'!$F$8:$F$9818,C167,'ریز گزارش ارزی'!$G$8:$G$9818,E167)</f>
        <v>0</v>
      </c>
      <c r="G167" s="21">
        <f>SUMIFS('ریز گزارش ارزی'!$AD$8:$AD$9818,'ریز گزارش ارزی'!$AD$8:$AD$9818,"&gt;0",'ریز گزارش ارزی'!$AF$8:$AF$9818,"5",'ریز گزارش ارزی'!$H$8:$H$9818,B167,'ریز گزارش ارزی'!$F$8:$F$9818,C167,'ریز گزارش ارزی'!$G$8:$G$9818,E167)</f>
        <v>0</v>
      </c>
    </row>
    <row r="168" spans="2:7">
      <c r="B168" s="150" t="s">
        <v>158</v>
      </c>
      <c r="C168" s="18" t="s">
        <v>156</v>
      </c>
      <c r="D168" s="19" t="s">
        <v>84</v>
      </c>
      <c r="E168" s="148" t="s">
        <v>3</v>
      </c>
      <c r="F168" s="21">
        <f>SUMIFS('ریز گزارش ارزی'!$AC$8:$AC$9818,'ریز گزارش ارزی'!$AC$8:$AC$9818,"&gt;0",'ریز گزارش ارزی'!$AF$8:$AF$9818,"5",'ریز گزارش ارزی'!$H$8:$H$9818,B168,'ریز گزارش ارزی'!$F$8:$F$9818,C168,'ریز گزارش ارزی'!$G$8:$G$9818,E168)</f>
        <v>0</v>
      </c>
      <c r="G168" s="21">
        <f>SUMIFS('ریز گزارش ارزی'!$AD$8:$AD$9818,'ریز گزارش ارزی'!$AD$8:$AD$9818,"&gt;0",'ریز گزارش ارزی'!$AF$8:$AF$9818,"5",'ریز گزارش ارزی'!$H$8:$H$9818,B168,'ریز گزارش ارزی'!$F$8:$F$9818,C168,'ریز گزارش ارزی'!$G$8:$G$9818,E168)</f>
        <v>0</v>
      </c>
    </row>
    <row r="169" spans="2:7">
      <c r="B169" s="150" t="s">
        <v>158</v>
      </c>
      <c r="C169" s="18" t="s">
        <v>156</v>
      </c>
      <c r="D169" s="19" t="s">
        <v>84</v>
      </c>
      <c r="E169" s="148" t="s">
        <v>9</v>
      </c>
      <c r="F169" s="21">
        <f>SUMIFS('ریز گزارش ارزی'!$AC$8:$AC$9818,'ریز گزارش ارزی'!$AC$8:$AC$9818,"&gt;0",'ریز گزارش ارزی'!$AF$8:$AF$9818,"5",'ریز گزارش ارزی'!$H$8:$H$9818,B169,'ریز گزارش ارزی'!$F$8:$F$9818,C169,'ریز گزارش ارزی'!$G$8:$G$9818,E169)</f>
        <v>0</v>
      </c>
      <c r="G169" s="21">
        <f>SUMIFS('ریز گزارش ارزی'!$AD$8:$AD$9818,'ریز گزارش ارزی'!$AD$8:$AD$9818,"&gt;0",'ریز گزارش ارزی'!$AF$8:$AF$9818,"5",'ریز گزارش ارزی'!$H$8:$H$9818,B169,'ریز گزارش ارزی'!$F$8:$F$9818,C169,'ریز گزارش ارزی'!$G$8:$G$9818,E169)</f>
        <v>0</v>
      </c>
    </row>
    <row r="170" spans="2:7">
      <c r="B170" s="150" t="s">
        <v>158</v>
      </c>
      <c r="C170" s="18" t="s">
        <v>156</v>
      </c>
      <c r="D170" s="19" t="s">
        <v>84</v>
      </c>
      <c r="E170" s="148" t="s">
        <v>14</v>
      </c>
      <c r="F170" s="21">
        <f>SUMIFS('ریز گزارش ارزی'!$AC$8:$AC$9818,'ریز گزارش ارزی'!$AC$8:$AC$9818,"&gt;0",'ریز گزارش ارزی'!$AF$8:$AF$9818,"5",'ریز گزارش ارزی'!$H$8:$H$9818,B170,'ریز گزارش ارزی'!$F$8:$F$9818,C170,'ریز گزارش ارزی'!$G$8:$G$9818,E170)</f>
        <v>0</v>
      </c>
      <c r="G170" s="21">
        <f>SUMIFS('ریز گزارش ارزی'!$AD$8:$AD$9818,'ریز گزارش ارزی'!$AD$8:$AD$9818,"&gt;0",'ریز گزارش ارزی'!$AF$8:$AF$9818,"5",'ریز گزارش ارزی'!$H$8:$H$9818,B170,'ریز گزارش ارزی'!$F$8:$F$9818,C170,'ریز گزارش ارزی'!$G$8:$G$9818,E170)</f>
        <v>0</v>
      </c>
    </row>
    <row r="171" spans="2:7">
      <c r="B171" s="150" t="s">
        <v>158</v>
      </c>
      <c r="C171" s="18" t="s">
        <v>156</v>
      </c>
      <c r="D171" s="19" t="s">
        <v>84</v>
      </c>
      <c r="E171" s="148" t="s">
        <v>5</v>
      </c>
      <c r="F171" s="21">
        <f>SUMIFS('ریز گزارش ارزی'!$AC$8:$AC$9818,'ریز گزارش ارزی'!$AC$8:$AC$9818,"&gt;0",'ریز گزارش ارزی'!$AF$8:$AF$9818,"5",'ریز گزارش ارزی'!$H$8:$H$9818,B171,'ریز گزارش ارزی'!$F$8:$F$9818,C171,'ریز گزارش ارزی'!$G$8:$G$9818,E171)</f>
        <v>0</v>
      </c>
      <c r="G171" s="21">
        <f>SUMIFS('ریز گزارش ارزی'!$AD$8:$AD$9818,'ریز گزارش ارزی'!$AD$8:$AD$9818,"&gt;0",'ریز گزارش ارزی'!$AF$8:$AF$9818,"5",'ریز گزارش ارزی'!$H$8:$H$9818,B171,'ریز گزارش ارزی'!$F$8:$F$9818,C171,'ریز گزارش ارزی'!$G$8:$G$9818,E171)</f>
        <v>0</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689EE-83A3-4B06-8AF2-EA2E21346E0B}">
  <dimension ref="A1:AY65"/>
  <sheetViews>
    <sheetView rightToLeft="1" zoomScale="120" zoomScaleNormal="120" workbookViewId="0"/>
  </sheetViews>
  <sheetFormatPr defaultRowHeight="15.75"/>
  <cols>
    <col min="1" max="1" width="11.28515625" style="82" customWidth="1"/>
    <col min="2" max="2" width="10" style="82" customWidth="1"/>
    <col min="3" max="3" width="9.5703125" style="82" customWidth="1"/>
    <col min="4" max="4" width="18.5703125" style="82" customWidth="1"/>
    <col min="5" max="5" width="9.28515625" style="82" bestFit="1" customWidth="1"/>
    <col min="6" max="6" width="10.140625" style="82" bestFit="1" customWidth="1"/>
    <col min="7" max="7" width="17.85546875" style="82" bestFit="1" customWidth="1"/>
    <col min="8" max="8" width="5.5703125" style="82" bestFit="1" customWidth="1"/>
    <col min="9" max="9" width="19" style="82" customWidth="1"/>
    <col min="10" max="11" width="14.42578125" style="82" customWidth="1"/>
    <col min="12" max="12" width="14.85546875" style="82" customWidth="1"/>
    <col min="13" max="13" width="18.140625" style="82" customWidth="1"/>
    <col min="14" max="14" width="17" style="82" customWidth="1"/>
    <col min="15" max="15" width="9.42578125" style="82" customWidth="1"/>
    <col min="16" max="16" width="12.5703125" style="82" customWidth="1"/>
    <col min="17" max="17" width="9.42578125" style="82" customWidth="1"/>
    <col min="18" max="18" width="12.5703125" style="82" customWidth="1"/>
    <col min="19" max="19" width="19.5703125" style="82" customWidth="1"/>
    <col min="20" max="20" width="8.42578125" style="82" customWidth="1"/>
    <col min="21" max="22" width="13.28515625" style="82" customWidth="1"/>
    <col min="23" max="23" width="13.5703125" style="82" customWidth="1"/>
    <col min="24" max="24" width="14.5703125" style="82" customWidth="1"/>
    <col min="25" max="25" width="16.140625" style="82" customWidth="1"/>
    <col min="26" max="26" width="11.5703125" style="82" customWidth="1"/>
    <col min="27" max="27" width="11.85546875" style="82" bestFit="1" customWidth="1"/>
    <col min="28" max="28" width="16.140625" style="82" customWidth="1"/>
    <col min="29" max="29" width="15" style="82" customWidth="1"/>
    <col min="30" max="30" width="16.28515625" style="82" customWidth="1"/>
    <col min="31" max="31" width="41.42578125" style="84" bestFit="1" customWidth="1"/>
    <col min="32" max="32" width="10.140625" style="84" customWidth="1"/>
    <col min="33" max="33" width="12.85546875" style="82" customWidth="1"/>
    <col min="34" max="34" width="10.42578125" style="82" customWidth="1"/>
    <col min="35" max="35" width="9.42578125" style="82" customWidth="1"/>
    <col min="36" max="36" width="10.140625" style="82" customWidth="1"/>
    <col min="37" max="37" width="15.28515625" style="82" customWidth="1"/>
    <col min="38" max="38" width="13.42578125" style="82" customWidth="1"/>
    <col min="39" max="39" width="12.5703125" style="82" customWidth="1"/>
    <col min="40" max="40" width="11.85546875" style="82" customWidth="1"/>
    <col min="41" max="41" width="13.28515625" style="82" customWidth="1"/>
    <col min="42" max="42" width="12.7109375" style="82" customWidth="1"/>
    <col min="43" max="43" width="13.5703125" style="82" bestFit="1" customWidth="1"/>
    <col min="44" max="44" width="26.85546875" style="82" customWidth="1"/>
    <col min="45" max="45" width="16.28515625" style="82" customWidth="1"/>
    <col min="46" max="48" width="9.140625" style="82" customWidth="1"/>
    <col min="49" max="49" width="18" style="82" bestFit="1" customWidth="1"/>
    <col min="50" max="16384" width="9.140625" style="82"/>
  </cols>
  <sheetData>
    <row r="1" spans="1:51">
      <c r="S1" s="83"/>
    </row>
    <row r="2" spans="1:51">
      <c r="C2" s="191" t="s">
        <v>43</v>
      </c>
      <c r="D2" s="85" t="s">
        <v>68</v>
      </c>
      <c r="F2" s="192" t="s">
        <v>161</v>
      </c>
      <c r="G2" s="192"/>
      <c r="H2" s="192"/>
      <c r="L2" s="88"/>
      <c r="R2" s="86"/>
      <c r="S2" s="83"/>
      <c r="AE2" s="86"/>
    </row>
    <row r="3" spans="1:51">
      <c r="C3" s="191"/>
      <c r="D3" s="87" t="s">
        <v>45</v>
      </c>
      <c r="F3" s="133" t="s">
        <v>146</v>
      </c>
      <c r="G3" s="88"/>
      <c r="R3" s="88"/>
      <c r="S3" s="83"/>
    </row>
    <row r="4" spans="1:51">
      <c r="F4" s="133" t="s">
        <v>147</v>
      </c>
      <c r="G4" s="88"/>
      <c r="R4" s="88"/>
      <c r="S4" s="83"/>
    </row>
    <row r="5" spans="1:51">
      <c r="A5" s="89"/>
      <c r="B5" s="89"/>
      <c r="C5" s="89"/>
      <c r="D5" s="89"/>
      <c r="E5" s="89"/>
      <c r="F5" s="89"/>
      <c r="G5" s="89"/>
      <c r="H5" s="89"/>
      <c r="I5" s="89"/>
      <c r="J5" s="89"/>
      <c r="K5" s="89"/>
      <c r="L5" s="89"/>
      <c r="M5" s="89"/>
      <c r="N5" s="89"/>
      <c r="O5" s="89"/>
      <c r="P5" s="89"/>
      <c r="Q5" s="89"/>
      <c r="R5" s="89"/>
      <c r="S5" s="89"/>
      <c r="T5" s="89"/>
      <c r="U5" s="90"/>
      <c r="V5" s="90"/>
      <c r="Y5" s="90"/>
      <c r="Z5" s="90"/>
      <c r="AA5" s="91"/>
      <c r="AC5" s="89"/>
    </row>
    <row r="6" spans="1:51" s="93" customFormat="1">
      <c r="A6" s="92"/>
      <c r="E6" s="92"/>
      <c r="F6" s="92" t="s">
        <v>107</v>
      </c>
      <c r="G6" s="92" t="s">
        <v>107</v>
      </c>
      <c r="H6" s="92" t="s">
        <v>107</v>
      </c>
      <c r="I6" s="92"/>
      <c r="J6" s="92"/>
      <c r="K6" s="92"/>
      <c r="N6" s="92"/>
      <c r="O6" s="92"/>
      <c r="P6" s="92"/>
      <c r="Q6" s="92"/>
      <c r="R6" s="92"/>
      <c r="S6" s="92"/>
      <c r="W6" s="92"/>
      <c r="X6" s="92"/>
      <c r="Y6" s="92"/>
      <c r="Z6" s="92"/>
      <c r="AA6" s="92"/>
      <c r="AB6" s="92"/>
      <c r="AC6" s="92" t="s">
        <v>107</v>
      </c>
      <c r="AD6" s="92" t="s">
        <v>107</v>
      </c>
      <c r="AE6" s="92"/>
      <c r="AF6" s="92" t="s">
        <v>107</v>
      </c>
      <c r="AH6" s="92"/>
      <c r="AI6" s="92"/>
      <c r="AJ6" s="92"/>
      <c r="AL6" s="92"/>
      <c r="AO6" s="92"/>
      <c r="AP6" s="92"/>
      <c r="AQ6" s="92"/>
    </row>
    <row r="7" spans="1:51" ht="47.25">
      <c r="A7" s="44" t="s">
        <v>71</v>
      </c>
      <c r="B7" s="44" t="s">
        <v>46</v>
      </c>
      <c r="C7" s="44" t="s">
        <v>47</v>
      </c>
      <c r="D7" s="44" t="s">
        <v>48</v>
      </c>
      <c r="E7" s="44" t="s">
        <v>49</v>
      </c>
      <c r="F7" s="44" t="s">
        <v>50</v>
      </c>
      <c r="G7" s="44" t="s">
        <v>178</v>
      </c>
      <c r="H7" s="44" t="s">
        <v>51</v>
      </c>
      <c r="I7" s="44" t="s">
        <v>140</v>
      </c>
      <c r="J7" s="44" t="s">
        <v>142</v>
      </c>
      <c r="K7" s="44" t="s">
        <v>143</v>
      </c>
      <c r="L7" s="43" t="s">
        <v>44</v>
      </c>
      <c r="M7" s="43" t="s">
        <v>95</v>
      </c>
      <c r="N7" s="43" t="s">
        <v>86</v>
      </c>
      <c r="O7" s="43" t="s">
        <v>179</v>
      </c>
      <c r="P7" s="43" t="s">
        <v>181</v>
      </c>
      <c r="Q7" s="43" t="s">
        <v>180</v>
      </c>
      <c r="R7" s="43" t="s">
        <v>182</v>
      </c>
      <c r="S7" s="43" t="s">
        <v>90</v>
      </c>
      <c r="T7" s="44" t="s">
        <v>52</v>
      </c>
      <c r="U7" s="44" t="s">
        <v>53</v>
      </c>
      <c r="V7" s="44" t="s">
        <v>54</v>
      </c>
      <c r="W7" s="44" t="s">
        <v>64</v>
      </c>
      <c r="X7" s="44" t="s">
        <v>93</v>
      </c>
      <c r="Y7" s="44" t="s">
        <v>87</v>
      </c>
      <c r="Z7" s="44" t="s">
        <v>94</v>
      </c>
      <c r="AA7" s="44" t="s">
        <v>67</v>
      </c>
      <c r="AB7" s="44" t="s">
        <v>106</v>
      </c>
      <c r="AC7" s="44" t="s">
        <v>55</v>
      </c>
      <c r="AD7" s="44" t="s">
        <v>56</v>
      </c>
      <c r="AE7" s="44" t="s">
        <v>57</v>
      </c>
      <c r="AF7" s="44" t="s">
        <v>97</v>
      </c>
      <c r="AG7" s="44" t="s">
        <v>98</v>
      </c>
      <c r="AH7" s="44" t="s">
        <v>127</v>
      </c>
      <c r="AI7" s="44" t="s">
        <v>58</v>
      </c>
      <c r="AJ7" s="44" t="s">
        <v>59</v>
      </c>
      <c r="AK7" s="44" t="s">
        <v>60</v>
      </c>
      <c r="AL7" s="44" t="s">
        <v>61</v>
      </c>
      <c r="AM7" s="44" t="s">
        <v>62</v>
      </c>
      <c r="AN7" s="44" t="s">
        <v>63</v>
      </c>
      <c r="AO7" s="44" t="s">
        <v>111</v>
      </c>
      <c r="AP7" s="44" t="s">
        <v>112</v>
      </c>
      <c r="AQ7" s="44" t="s">
        <v>141</v>
      </c>
      <c r="AR7" s="44" t="s">
        <v>145</v>
      </c>
      <c r="AS7" s="44" t="s">
        <v>72</v>
      </c>
      <c r="AU7" s="191" t="s">
        <v>43</v>
      </c>
      <c r="AV7" s="149">
        <v>1</v>
      </c>
      <c r="AW7" s="149" t="s">
        <v>53</v>
      </c>
      <c r="AY7" s="149" t="s">
        <v>51</v>
      </c>
    </row>
    <row r="8" spans="1:51">
      <c r="A8" s="94" t="s">
        <v>73</v>
      </c>
      <c r="B8" s="94"/>
      <c r="C8" s="94"/>
      <c r="D8" s="94"/>
      <c r="E8" s="94"/>
      <c r="F8" s="95" t="s">
        <v>148</v>
      </c>
      <c r="G8" s="94" t="s">
        <v>0</v>
      </c>
      <c r="H8" s="95" t="s">
        <v>38</v>
      </c>
      <c r="I8" s="94" t="s">
        <v>85</v>
      </c>
      <c r="J8" s="128"/>
      <c r="K8" s="94"/>
      <c r="L8" s="39">
        <v>521</v>
      </c>
      <c r="M8" s="39"/>
      <c r="N8" s="96"/>
      <c r="O8" s="96" t="s">
        <v>37</v>
      </c>
      <c r="P8" s="96"/>
      <c r="Q8" s="96" t="s">
        <v>38</v>
      </c>
      <c r="R8" s="96"/>
      <c r="S8" s="39"/>
      <c r="T8" s="97">
        <v>0.87</v>
      </c>
      <c r="U8" s="98">
        <f t="shared" ref="U8:U29" si="0">L8*T8</f>
        <v>453.27</v>
      </c>
      <c r="V8" s="98">
        <f t="shared" ref="V8:V29" si="1">L8-U8</f>
        <v>67.730000000000018</v>
      </c>
      <c r="W8" s="99"/>
      <c r="X8" s="94"/>
      <c r="Y8" s="39"/>
      <c r="Z8" s="39"/>
      <c r="AA8" s="94"/>
      <c r="AB8" s="94"/>
      <c r="AC8" s="121">
        <f>U8</f>
        <v>453.27</v>
      </c>
      <c r="AD8" s="39">
        <v>0</v>
      </c>
      <c r="AE8" s="70" t="s">
        <v>53</v>
      </c>
      <c r="AF8" s="96">
        <v>1</v>
      </c>
      <c r="AG8" s="98" t="str">
        <f t="shared" ref="AG8:AG10" si="2">IF(ISNUMBER(SEARCH("عودت قرض", AE8)),"عودت قرض",IF(ISNUMBER(SEARCH("قرض", AE8)),"قرض",IF(ISNUMBER(SEARCH("کارمزد بانکی", AE8)),"کارمزد بانکی",IF(ISNUMBER(SEARCH("سهم پروژه", AE8)),"سهم پروژه",IF(ISNUMBER(SEARCH("سهم بالاسری", AE8)),"ستاد",IF(ISNUMBER(SEARCH("پرداخت", AE8)),"پرداخت","-"))))))</f>
        <v>سهم پروژه</v>
      </c>
      <c r="AH8" s="39"/>
      <c r="AI8" s="97"/>
      <c r="AJ8" s="97"/>
      <c r="AK8" s="100">
        <f t="shared" ref="AK8:AK29" si="3">IF(AJ8&gt;0,(AI8-AJ8)/AI8,0)</f>
        <v>0</v>
      </c>
      <c r="AL8" s="39"/>
      <c r="AM8" s="98">
        <f t="shared" ref="AM8:AM29" si="4">IF(AL8&gt;0,AL8*AK8,0)</f>
        <v>0</v>
      </c>
      <c r="AN8" s="98">
        <f t="shared" ref="AN8:AN29" si="5">AL8-AM8</f>
        <v>0</v>
      </c>
      <c r="AO8" s="94"/>
      <c r="AP8" s="94"/>
      <c r="AQ8" s="94"/>
      <c r="AR8" s="94"/>
      <c r="AS8" s="94"/>
      <c r="AU8" s="191"/>
      <c r="AV8" s="94">
        <v>2</v>
      </c>
      <c r="AW8" s="94" t="s">
        <v>96</v>
      </c>
      <c r="AY8" s="151" t="s">
        <v>157</v>
      </c>
    </row>
    <row r="9" spans="1:51">
      <c r="A9" s="94" t="s">
        <v>73</v>
      </c>
      <c r="B9" s="94">
        <v>433</v>
      </c>
      <c r="C9" s="94" t="s">
        <v>13</v>
      </c>
      <c r="D9" s="94" t="s">
        <v>13</v>
      </c>
      <c r="E9" s="94" t="s">
        <v>74</v>
      </c>
      <c r="F9" s="95" t="s">
        <v>148</v>
      </c>
      <c r="G9" s="94" t="s">
        <v>14</v>
      </c>
      <c r="H9" s="95" t="s">
        <v>38</v>
      </c>
      <c r="I9" s="94" t="s">
        <v>26</v>
      </c>
      <c r="J9" s="128">
        <v>45888</v>
      </c>
      <c r="K9" s="94"/>
      <c r="L9" s="96">
        <v>600</v>
      </c>
      <c r="M9" s="39"/>
      <c r="N9" s="96">
        <f>IF(P9&gt;0,L9*P9,R9*L9)</f>
        <v>634176600</v>
      </c>
      <c r="O9" s="96" t="s">
        <v>37</v>
      </c>
      <c r="P9" s="96">
        <v>0</v>
      </c>
      <c r="Q9" s="96" t="s">
        <v>38</v>
      </c>
      <c r="R9" s="96">
        <v>1056961</v>
      </c>
      <c r="S9" s="39" t="s">
        <v>89</v>
      </c>
      <c r="T9" s="97">
        <v>1</v>
      </c>
      <c r="U9" s="98">
        <f t="shared" si="0"/>
        <v>600</v>
      </c>
      <c r="V9" s="98">
        <f t="shared" si="1"/>
        <v>0</v>
      </c>
      <c r="W9" s="99"/>
      <c r="X9" s="94"/>
      <c r="Y9" s="39"/>
      <c r="Z9" s="39"/>
      <c r="AA9" s="94" t="s">
        <v>183</v>
      </c>
      <c r="AB9" s="94"/>
      <c r="AC9" s="39">
        <f>U9</f>
        <v>600</v>
      </c>
      <c r="AD9" s="39">
        <v>0</v>
      </c>
      <c r="AE9" s="70" t="s">
        <v>53</v>
      </c>
      <c r="AF9" s="96">
        <v>1</v>
      </c>
      <c r="AG9" s="98" t="str">
        <f t="shared" si="2"/>
        <v>سهم پروژه</v>
      </c>
      <c r="AH9" s="39"/>
      <c r="AI9" s="97"/>
      <c r="AJ9" s="97"/>
      <c r="AK9" s="100">
        <f t="shared" si="3"/>
        <v>0</v>
      </c>
      <c r="AL9" s="39"/>
      <c r="AM9" s="98">
        <f t="shared" si="4"/>
        <v>0</v>
      </c>
      <c r="AN9" s="98">
        <f t="shared" si="5"/>
        <v>0</v>
      </c>
      <c r="AO9" s="94"/>
      <c r="AP9" s="94"/>
      <c r="AQ9" s="94"/>
      <c r="AR9" s="94" t="s">
        <v>75</v>
      </c>
      <c r="AS9" s="94"/>
      <c r="AU9" s="191"/>
      <c r="AV9" s="94">
        <v>3</v>
      </c>
      <c r="AW9" s="94" t="s">
        <v>12</v>
      </c>
      <c r="AY9" s="152" t="s">
        <v>158</v>
      </c>
    </row>
    <row r="10" spans="1:51">
      <c r="A10" s="94" t="s">
        <v>73</v>
      </c>
      <c r="B10" s="94"/>
      <c r="C10" s="94"/>
      <c r="D10" s="94"/>
      <c r="E10" s="94" t="s">
        <v>88</v>
      </c>
      <c r="F10" s="95" t="s">
        <v>148</v>
      </c>
      <c r="G10" s="94" t="s">
        <v>6</v>
      </c>
      <c r="H10" s="95" t="s">
        <v>38</v>
      </c>
      <c r="I10" s="94" t="s">
        <v>27</v>
      </c>
      <c r="J10" s="128"/>
      <c r="K10" s="94"/>
      <c r="L10" s="39"/>
      <c r="M10" s="39"/>
      <c r="N10" s="96">
        <f>P10*AD10</f>
        <v>3680911</v>
      </c>
      <c r="O10" s="96" t="s">
        <v>37</v>
      </c>
      <c r="P10" s="96">
        <v>283147</v>
      </c>
      <c r="Q10" s="96" t="s">
        <v>38</v>
      </c>
      <c r="R10" s="96"/>
      <c r="S10" s="39"/>
      <c r="T10" s="97"/>
      <c r="U10" s="98">
        <f t="shared" si="0"/>
        <v>0</v>
      </c>
      <c r="V10" s="98">
        <f t="shared" si="1"/>
        <v>0</v>
      </c>
      <c r="W10" s="99">
        <v>19259</v>
      </c>
      <c r="X10" s="94"/>
      <c r="Y10" s="39">
        <v>228512</v>
      </c>
      <c r="Z10" s="101" t="s">
        <v>38</v>
      </c>
      <c r="AA10" s="149" t="s">
        <v>198</v>
      </c>
      <c r="AB10" s="95"/>
      <c r="AC10" s="39">
        <v>0</v>
      </c>
      <c r="AD10" s="39">
        <v>13</v>
      </c>
      <c r="AE10" s="70" t="s">
        <v>209</v>
      </c>
      <c r="AF10" s="96">
        <v>2</v>
      </c>
      <c r="AG10" s="98" t="str">
        <f t="shared" si="2"/>
        <v>پرداخت</v>
      </c>
      <c r="AH10" s="39"/>
      <c r="AI10" s="97"/>
      <c r="AJ10" s="97"/>
      <c r="AK10" s="100">
        <f t="shared" si="3"/>
        <v>0</v>
      </c>
      <c r="AL10" s="39"/>
      <c r="AM10" s="98">
        <f t="shared" si="4"/>
        <v>0</v>
      </c>
      <c r="AN10" s="98">
        <f t="shared" si="5"/>
        <v>0</v>
      </c>
      <c r="AO10" s="94"/>
      <c r="AP10" s="94"/>
      <c r="AQ10" s="94"/>
      <c r="AR10" s="94"/>
      <c r="AS10" s="94"/>
      <c r="AU10" s="191"/>
      <c r="AV10" s="94">
        <v>4</v>
      </c>
      <c r="AW10" s="94" t="s">
        <v>83</v>
      </c>
      <c r="AY10" s="151" t="s">
        <v>38</v>
      </c>
    </row>
    <row r="11" spans="1:51">
      <c r="A11" s="94" t="s">
        <v>73</v>
      </c>
      <c r="B11" s="94"/>
      <c r="C11" s="94"/>
      <c r="D11" s="94"/>
      <c r="E11" s="94"/>
      <c r="F11" s="95" t="s">
        <v>148</v>
      </c>
      <c r="G11" s="94" t="s">
        <v>0</v>
      </c>
      <c r="H11" s="95" t="s">
        <v>38</v>
      </c>
      <c r="I11" s="94" t="s">
        <v>32</v>
      </c>
      <c r="J11" s="128"/>
      <c r="K11" s="94"/>
      <c r="L11" s="39"/>
      <c r="M11" s="39"/>
      <c r="N11" s="96"/>
      <c r="O11" s="96" t="s">
        <v>37</v>
      </c>
      <c r="P11" s="96"/>
      <c r="Q11" s="96" t="s">
        <v>38</v>
      </c>
      <c r="R11" s="96"/>
      <c r="S11" s="39"/>
      <c r="T11" s="97"/>
      <c r="U11" s="98">
        <f t="shared" si="0"/>
        <v>0</v>
      </c>
      <c r="V11" s="98">
        <f t="shared" si="1"/>
        <v>0</v>
      </c>
      <c r="W11" s="99"/>
      <c r="X11" s="94"/>
      <c r="Y11" s="39"/>
      <c r="Z11" s="39"/>
      <c r="AA11" s="149" t="s">
        <v>198</v>
      </c>
      <c r="AB11" s="94"/>
      <c r="AC11" s="39">
        <v>0</v>
      </c>
      <c r="AD11" s="39">
        <v>13</v>
      </c>
      <c r="AE11" s="70" t="s">
        <v>202</v>
      </c>
      <c r="AF11" s="96">
        <v>2</v>
      </c>
      <c r="AG11" s="98" t="s">
        <v>101</v>
      </c>
      <c r="AH11" s="39"/>
      <c r="AI11" s="97"/>
      <c r="AJ11" s="97"/>
      <c r="AK11" s="100">
        <f t="shared" si="3"/>
        <v>0</v>
      </c>
      <c r="AL11" s="39"/>
      <c r="AM11" s="98">
        <f t="shared" si="4"/>
        <v>0</v>
      </c>
      <c r="AN11" s="98">
        <f t="shared" si="5"/>
        <v>0</v>
      </c>
      <c r="AO11" s="94"/>
      <c r="AP11" s="94"/>
      <c r="AQ11" s="94"/>
      <c r="AR11" s="94"/>
      <c r="AS11" s="94"/>
    </row>
    <row r="12" spans="1:51">
      <c r="A12" s="94" t="s">
        <v>73</v>
      </c>
      <c r="B12" s="94"/>
      <c r="C12" s="94"/>
      <c r="D12" s="94"/>
      <c r="E12" s="94"/>
      <c r="F12" s="95" t="s">
        <v>148</v>
      </c>
      <c r="G12" s="94" t="s">
        <v>6</v>
      </c>
      <c r="H12" s="95" t="s">
        <v>38</v>
      </c>
      <c r="I12" s="94" t="s">
        <v>32</v>
      </c>
      <c r="J12" s="128"/>
      <c r="K12" s="94"/>
      <c r="L12" s="39"/>
      <c r="M12" s="39"/>
      <c r="N12" s="96"/>
      <c r="O12" s="96" t="s">
        <v>37</v>
      </c>
      <c r="P12" s="96"/>
      <c r="Q12" s="96" t="s">
        <v>38</v>
      </c>
      <c r="R12" s="96"/>
      <c r="S12" s="39"/>
      <c r="T12" s="97"/>
      <c r="U12" s="98">
        <f t="shared" si="0"/>
        <v>0</v>
      </c>
      <c r="V12" s="98">
        <f t="shared" si="1"/>
        <v>0</v>
      </c>
      <c r="W12" s="99"/>
      <c r="X12" s="94"/>
      <c r="Y12" s="39"/>
      <c r="Z12" s="39"/>
      <c r="AA12" s="149" t="s">
        <v>198</v>
      </c>
      <c r="AB12" s="94"/>
      <c r="AC12" s="39">
        <v>13</v>
      </c>
      <c r="AD12" s="39">
        <v>0</v>
      </c>
      <c r="AE12" s="70" t="s">
        <v>202</v>
      </c>
      <c r="AF12" s="96">
        <v>1</v>
      </c>
      <c r="AG12" s="98" t="s">
        <v>101</v>
      </c>
      <c r="AH12" s="39"/>
      <c r="AI12" s="97"/>
      <c r="AJ12" s="97"/>
      <c r="AK12" s="100">
        <f t="shared" si="3"/>
        <v>0</v>
      </c>
      <c r="AL12" s="39"/>
      <c r="AM12" s="98">
        <f t="shared" si="4"/>
        <v>0</v>
      </c>
      <c r="AN12" s="98">
        <f t="shared" si="5"/>
        <v>0</v>
      </c>
      <c r="AO12" s="94"/>
      <c r="AP12" s="94"/>
      <c r="AQ12" s="94"/>
      <c r="AR12" s="94"/>
      <c r="AS12" s="94"/>
    </row>
    <row r="13" spans="1:51">
      <c r="A13" s="94" t="s">
        <v>73</v>
      </c>
      <c r="B13" s="94"/>
      <c r="C13" s="94"/>
      <c r="D13" s="94"/>
      <c r="E13" s="94"/>
      <c r="F13" s="162" t="s">
        <v>148</v>
      </c>
      <c r="G13" s="163" t="s">
        <v>0</v>
      </c>
      <c r="H13" s="162" t="s">
        <v>38</v>
      </c>
      <c r="I13" s="163" t="s">
        <v>31</v>
      </c>
      <c r="J13" s="128"/>
      <c r="K13" s="125"/>
      <c r="L13" s="39"/>
      <c r="M13" s="39"/>
      <c r="N13" s="96"/>
      <c r="O13" s="96" t="s">
        <v>37</v>
      </c>
      <c r="P13" s="96"/>
      <c r="Q13" s="96" t="s">
        <v>38</v>
      </c>
      <c r="R13" s="96"/>
      <c r="S13" s="39"/>
      <c r="T13" s="97"/>
      <c r="U13" s="98">
        <f t="shared" si="0"/>
        <v>0</v>
      </c>
      <c r="V13" s="98">
        <f t="shared" si="1"/>
        <v>0</v>
      </c>
      <c r="W13" s="99"/>
      <c r="X13" s="94"/>
      <c r="Y13" s="39"/>
      <c r="Z13" s="39"/>
      <c r="AA13" s="94"/>
      <c r="AB13" s="94"/>
      <c r="AC13" s="132">
        <v>0</v>
      </c>
      <c r="AD13" s="132">
        <v>5</v>
      </c>
      <c r="AE13" s="70" t="s">
        <v>209</v>
      </c>
      <c r="AF13" s="96">
        <v>2</v>
      </c>
      <c r="AG13" s="98" t="str">
        <f t="shared" ref="AG13:AG21" si="6">IF(ISNUMBER(SEARCH("عودت قرض", AE13)),"عودت قرض",IF(ISNUMBER(SEARCH("قرض", AE13)),"قرض",IF(ISNUMBER(SEARCH("کارمزد بانکی", AE13)),"کارمزد بانکی",IF(ISNUMBER(SEARCH("سهم پروژه", AE13)),"سهم پروژه",IF(ISNUMBER(SEARCH("سهم بالاسری", AE13)),"ستاد",IF(ISNUMBER(SEARCH("پرداخت", AE13)),"پرداخت","-"))))))</f>
        <v>پرداخت</v>
      </c>
      <c r="AH13" s="39"/>
      <c r="AI13" s="97"/>
      <c r="AJ13" s="97"/>
      <c r="AK13" s="100">
        <f t="shared" si="3"/>
        <v>0</v>
      </c>
      <c r="AL13" s="39"/>
      <c r="AM13" s="98">
        <f t="shared" si="4"/>
        <v>0</v>
      </c>
      <c r="AN13" s="98">
        <f t="shared" si="5"/>
        <v>0</v>
      </c>
      <c r="AO13" s="94"/>
      <c r="AP13" s="94"/>
      <c r="AQ13" s="94"/>
      <c r="AR13" s="94"/>
      <c r="AS13" s="94"/>
    </row>
    <row r="14" spans="1:51">
      <c r="A14" s="94" t="s">
        <v>73</v>
      </c>
      <c r="B14" s="94"/>
      <c r="C14" s="94"/>
      <c r="D14" s="94"/>
      <c r="E14" s="94"/>
      <c r="F14" s="162" t="s">
        <v>148</v>
      </c>
      <c r="G14" s="163" t="s">
        <v>14</v>
      </c>
      <c r="H14" s="162" t="s">
        <v>38</v>
      </c>
      <c r="I14" s="163" t="s">
        <v>31</v>
      </c>
      <c r="J14" s="128"/>
      <c r="K14" s="125"/>
      <c r="L14" s="39"/>
      <c r="M14" s="39"/>
      <c r="N14" s="96"/>
      <c r="O14" s="96" t="s">
        <v>37</v>
      </c>
      <c r="P14" s="96"/>
      <c r="Q14" s="96" t="s">
        <v>38</v>
      </c>
      <c r="R14" s="96"/>
      <c r="S14" s="39"/>
      <c r="T14" s="97"/>
      <c r="U14" s="98">
        <f t="shared" si="0"/>
        <v>0</v>
      </c>
      <c r="V14" s="98">
        <f t="shared" si="1"/>
        <v>0</v>
      </c>
      <c r="W14" s="99"/>
      <c r="X14" s="94"/>
      <c r="Y14" s="39"/>
      <c r="Z14" s="39"/>
      <c r="AA14" s="94"/>
      <c r="AB14" s="94"/>
      <c r="AC14" s="132">
        <v>0</v>
      </c>
      <c r="AD14" s="132">
        <v>23</v>
      </c>
      <c r="AE14" s="70" t="s">
        <v>209</v>
      </c>
      <c r="AF14" s="96">
        <v>2</v>
      </c>
      <c r="AG14" s="98" t="str">
        <f t="shared" si="6"/>
        <v>پرداخت</v>
      </c>
      <c r="AH14" s="39"/>
      <c r="AI14" s="97"/>
      <c r="AJ14" s="97"/>
      <c r="AK14" s="100">
        <f t="shared" si="3"/>
        <v>0</v>
      </c>
      <c r="AL14" s="39"/>
      <c r="AM14" s="98">
        <f t="shared" si="4"/>
        <v>0</v>
      </c>
      <c r="AN14" s="98">
        <f t="shared" si="5"/>
        <v>0</v>
      </c>
      <c r="AO14" s="94"/>
      <c r="AP14" s="94"/>
      <c r="AQ14" s="94"/>
      <c r="AR14" s="94"/>
      <c r="AS14" s="94"/>
    </row>
    <row r="15" spans="1:51">
      <c r="A15" s="94" t="s">
        <v>73</v>
      </c>
      <c r="B15" s="94">
        <v>312</v>
      </c>
      <c r="C15" s="94" t="s">
        <v>13</v>
      </c>
      <c r="D15" s="94" t="s">
        <v>13</v>
      </c>
      <c r="E15" s="94" t="s">
        <v>13</v>
      </c>
      <c r="F15" s="95" t="s">
        <v>156</v>
      </c>
      <c r="G15" s="94" t="s">
        <v>0</v>
      </c>
      <c r="H15" s="95" t="s">
        <v>37</v>
      </c>
      <c r="I15" s="94" t="s">
        <v>33</v>
      </c>
      <c r="J15" s="128"/>
      <c r="K15" s="94"/>
      <c r="L15" s="39">
        <v>530</v>
      </c>
      <c r="M15" s="157">
        <f>L15/4.26</f>
        <v>124.41314553990611</v>
      </c>
      <c r="N15" s="96">
        <f>IF(P15&gt;0,L15*P15,M15*R15)</f>
        <v>153578323.94366199</v>
      </c>
      <c r="O15" s="96" t="s">
        <v>37</v>
      </c>
      <c r="P15" s="39"/>
      <c r="Q15" s="96" t="s">
        <v>38</v>
      </c>
      <c r="R15" s="96">
        <v>1234422</v>
      </c>
      <c r="S15" s="39" t="s">
        <v>89</v>
      </c>
      <c r="T15" s="97">
        <v>0.87</v>
      </c>
      <c r="U15" s="98">
        <f t="shared" si="0"/>
        <v>461.1</v>
      </c>
      <c r="V15" s="98">
        <f t="shared" si="1"/>
        <v>68.899999999999977</v>
      </c>
      <c r="W15" s="99"/>
      <c r="X15" s="94"/>
      <c r="Y15" s="39"/>
      <c r="Z15" s="39"/>
      <c r="AA15" s="149" t="s">
        <v>183</v>
      </c>
      <c r="AB15" s="94"/>
      <c r="AC15" s="39">
        <f>U15</f>
        <v>461.1</v>
      </c>
      <c r="AD15" s="39">
        <v>0</v>
      </c>
      <c r="AE15" s="70" t="s">
        <v>53</v>
      </c>
      <c r="AF15" s="96">
        <v>1</v>
      </c>
      <c r="AG15" s="98" t="str">
        <f t="shared" si="6"/>
        <v>سهم پروژه</v>
      </c>
      <c r="AH15" s="39"/>
      <c r="AI15" s="97"/>
      <c r="AJ15" s="97"/>
      <c r="AK15" s="100">
        <f t="shared" si="3"/>
        <v>0</v>
      </c>
      <c r="AL15" s="39"/>
      <c r="AM15" s="98">
        <f t="shared" si="4"/>
        <v>0</v>
      </c>
      <c r="AN15" s="98">
        <f t="shared" si="5"/>
        <v>0</v>
      </c>
      <c r="AO15" s="94"/>
      <c r="AP15" s="94"/>
      <c r="AQ15" s="94"/>
      <c r="AR15" s="94" t="s">
        <v>13</v>
      </c>
      <c r="AS15" s="94"/>
    </row>
    <row r="16" spans="1:51">
      <c r="A16" s="94" t="s">
        <v>73</v>
      </c>
      <c r="B16" s="94">
        <v>312</v>
      </c>
      <c r="C16" s="94" t="s">
        <v>13</v>
      </c>
      <c r="D16" s="94" t="s">
        <v>13</v>
      </c>
      <c r="E16" s="94" t="s">
        <v>13</v>
      </c>
      <c r="F16" s="95" t="s">
        <v>156</v>
      </c>
      <c r="G16" s="94" t="s">
        <v>0</v>
      </c>
      <c r="H16" s="161" t="s">
        <v>158</v>
      </c>
      <c r="I16" s="94" t="s">
        <v>29</v>
      </c>
      <c r="J16" s="128"/>
      <c r="K16" s="94"/>
      <c r="L16" s="39">
        <v>370</v>
      </c>
      <c r="M16" s="157">
        <f>L16/4.26</f>
        <v>86.854460093896719</v>
      </c>
      <c r="N16" s="96">
        <f t="shared" ref="N16:N17" si="7">IF(P16&gt;0,L16*P16,M16*R16)</f>
        <v>0</v>
      </c>
      <c r="O16" s="96" t="s">
        <v>37</v>
      </c>
      <c r="P16" s="39"/>
      <c r="Q16" s="96" t="s">
        <v>38</v>
      </c>
      <c r="R16" s="96"/>
      <c r="S16" s="39" t="s">
        <v>89</v>
      </c>
      <c r="T16" s="97">
        <v>0.87</v>
      </c>
      <c r="U16" s="98">
        <f t="shared" ref="U16:U20" si="8">L16*T16</f>
        <v>321.89999999999998</v>
      </c>
      <c r="V16" s="98">
        <f t="shared" ref="V16:V20" si="9">L16-U16</f>
        <v>48.100000000000023</v>
      </c>
      <c r="W16" s="99"/>
      <c r="X16" s="94"/>
      <c r="Y16" s="39"/>
      <c r="Z16" s="39"/>
      <c r="AA16" s="149" t="s">
        <v>183</v>
      </c>
      <c r="AB16" s="94"/>
      <c r="AC16" s="39">
        <f t="shared" ref="AC16:AC19" si="10">U16</f>
        <v>321.89999999999998</v>
      </c>
      <c r="AD16" s="39">
        <v>0</v>
      </c>
      <c r="AE16" s="70" t="s">
        <v>53</v>
      </c>
      <c r="AF16" s="96">
        <v>1</v>
      </c>
      <c r="AG16" s="98" t="str">
        <f t="shared" ref="AG16:AG20" si="11">IF(ISNUMBER(SEARCH("عودت قرض", AE16)),"عودت قرض",IF(ISNUMBER(SEARCH("قرض", AE16)),"قرض",IF(ISNUMBER(SEARCH("کارمزد بانکی", AE16)),"کارمزد بانکی",IF(ISNUMBER(SEARCH("سهم پروژه", AE16)),"سهم پروژه",IF(ISNUMBER(SEARCH("سهم بالاسری", AE16)),"ستاد",IF(ISNUMBER(SEARCH("پرداخت", AE16)),"پرداخت","-"))))))</f>
        <v>سهم پروژه</v>
      </c>
      <c r="AH16" s="39"/>
      <c r="AI16" s="97"/>
      <c r="AJ16" s="97"/>
      <c r="AK16" s="100">
        <f t="shared" ref="AK16:AK20" si="12">IF(AJ16&gt;0,(AI16-AJ16)/AI16,0)</f>
        <v>0</v>
      </c>
      <c r="AL16" s="39"/>
      <c r="AM16" s="98">
        <f t="shared" ref="AM16:AM20" si="13">IF(AL16&gt;0,AL16*AK16,0)</f>
        <v>0</v>
      </c>
      <c r="AN16" s="98">
        <f t="shared" ref="AN16:AN20" si="14">AL16-AM16</f>
        <v>0</v>
      </c>
      <c r="AO16" s="94"/>
      <c r="AP16" s="94"/>
      <c r="AQ16" s="94"/>
      <c r="AR16" s="94" t="s">
        <v>13</v>
      </c>
      <c r="AS16" s="94"/>
    </row>
    <row r="17" spans="1:45">
      <c r="A17" s="156" t="s">
        <v>73</v>
      </c>
      <c r="B17" s="156">
        <v>312</v>
      </c>
      <c r="C17" s="156" t="s">
        <v>13</v>
      </c>
      <c r="D17" s="156" t="s">
        <v>13</v>
      </c>
      <c r="E17" s="156" t="s">
        <v>13</v>
      </c>
      <c r="F17" s="95" t="s">
        <v>156</v>
      </c>
      <c r="G17" s="156" t="s">
        <v>0</v>
      </c>
      <c r="H17" s="161" t="s">
        <v>157</v>
      </c>
      <c r="I17" s="156" t="s">
        <v>29</v>
      </c>
      <c r="J17" s="128"/>
      <c r="K17" s="156"/>
      <c r="L17" s="39">
        <v>960</v>
      </c>
      <c r="M17" s="157">
        <f>L17/4.26</f>
        <v>225.35211267605635</v>
      </c>
      <c r="N17" s="96">
        <f t="shared" ref="N17" si="15">IF(P17&gt;0,L17*P17,M17*R17)</f>
        <v>0</v>
      </c>
      <c r="O17" s="96" t="s">
        <v>37</v>
      </c>
      <c r="P17" s="39"/>
      <c r="Q17" s="96" t="s">
        <v>38</v>
      </c>
      <c r="R17" s="96"/>
      <c r="S17" s="39" t="s">
        <v>89</v>
      </c>
      <c r="T17" s="97">
        <v>0.87</v>
      </c>
      <c r="U17" s="98">
        <f t="shared" ref="U17" si="16">L17*T17</f>
        <v>835.2</v>
      </c>
      <c r="V17" s="98">
        <f t="shared" ref="V17" si="17">L17-U17</f>
        <v>124.79999999999995</v>
      </c>
      <c r="W17" s="99"/>
      <c r="X17" s="156"/>
      <c r="Y17" s="39"/>
      <c r="Z17" s="39"/>
      <c r="AA17" s="156" t="s">
        <v>183</v>
      </c>
      <c r="AB17" s="156"/>
      <c r="AC17" s="39">
        <f t="shared" ref="AC17" si="18">U17</f>
        <v>835.2</v>
      </c>
      <c r="AD17" s="39">
        <v>0</v>
      </c>
      <c r="AE17" s="70" t="s">
        <v>53</v>
      </c>
      <c r="AF17" s="96">
        <v>1</v>
      </c>
      <c r="AG17" s="98" t="str">
        <f t="shared" ref="AG17" si="19">IF(ISNUMBER(SEARCH("عودت قرض", AE17)),"عودت قرض",IF(ISNUMBER(SEARCH("قرض", AE17)),"قرض",IF(ISNUMBER(SEARCH("کارمزد بانکی", AE17)),"کارمزد بانکی",IF(ISNUMBER(SEARCH("سهم پروژه", AE17)),"سهم پروژه",IF(ISNUMBER(SEARCH("سهم بالاسری", AE17)),"ستاد",IF(ISNUMBER(SEARCH("پرداخت", AE17)),"پرداخت","-"))))))</f>
        <v>سهم پروژه</v>
      </c>
      <c r="AH17" s="39"/>
      <c r="AI17" s="97"/>
      <c r="AJ17" s="97"/>
      <c r="AK17" s="100">
        <f t="shared" ref="AK17" si="20">IF(AJ17&gt;0,(AI17-AJ17)/AI17,0)</f>
        <v>0</v>
      </c>
      <c r="AL17" s="39"/>
      <c r="AM17" s="98">
        <f t="shared" ref="AM17" si="21">IF(AL17&gt;0,AL17*AK17,0)</f>
        <v>0</v>
      </c>
      <c r="AN17" s="98">
        <f t="shared" ref="AN17" si="22">AL17-AM17</f>
        <v>0</v>
      </c>
      <c r="AO17" s="156"/>
      <c r="AP17" s="156"/>
      <c r="AQ17" s="156"/>
      <c r="AR17" s="156" t="s">
        <v>13</v>
      </c>
      <c r="AS17" s="156"/>
    </row>
    <row r="18" spans="1:45">
      <c r="A18" s="94" t="s">
        <v>73</v>
      </c>
      <c r="B18" s="94">
        <v>516</v>
      </c>
      <c r="C18" s="94" t="s">
        <v>13</v>
      </c>
      <c r="D18" s="94" t="s">
        <v>13</v>
      </c>
      <c r="E18" s="94" t="s">
        <v>77</v>
      </c>
      <c r="F18" s="95" t="s">
        <v>148</v>
      </c>
      <c r="G18" s="94" t="s">
        <v>9</v>
      </c>
      <c r="H18" s="95" t="s">
        <v>37</v>
      </c>
      <c r="I18" s="94" t="s">
        <v>29</v>
      </c>
      <c r="J18" s="128"/>
      <c r="K18" s="94"/>
      <c r="L18" s="39">
        <v>290</v>
      </c>
      <c r="M18" s="157">
        <f>L18/4.26</f>
        <v>68.075117370892016</v>
      </c>
      <c r="N18" s="96">
        <f t="shared" ref="N18:N20" si="23">IF(P18&gt;0,L18*P18,M18*R18)</f>
        <v>82389204.225352108</v>
      </c>
      <c r="O18" s="96" t="s">
        <v>37</v>
      </c>
      <c r="P18" s="39"/>
      <c r="Q18" s="96" t="s">
        <v>38</v>
      </c>
      <c r="R18" s="96">
        <v>1210269</v>
      </c>
      <c r="S18" s="39" t="s">
        <v>89</v>
      </c>
      <c r="T18" s="97">
        <v>0.88</v>
      </c>
      <c r="U18" s="98">
        <f t="shared" si="8"/>
        <v>255.2</v>
      </c>
      <c r="V18" s="98">
        <f t="shared" si="9"/>
        <v>34.800000000000011</v>
      </c>
      <c r="W18" s="99"/>
      <c r="X18" s="94"/>
      <c r="Y18" s="39"/>
      <c r="Z18" s="39"/>
      <c r="AA18" s="149" t="s">
        <v>183</v>
      </c>
      <c r="AB18" s="94"/>
      <c r="AC18" s="39">
        <f t="shared" si="10"/>
        <v>255.2</v>
      </c>
      <c r="AD18" s="39">
        <v>0</v>
      </c>
      <c r="AE18" s="70" t="s">
        <v>53</v>
      </c>
      <c r="AF18" s="96">
        <v>1</v>
      </c>
      <c r="AG18" s="98" t="str">
        <f t="shared" si="11"/>
        <v>سهم پروژه</v>
      </c>
      <c r="AH18" s="39"/>
      <c r="AI18" s="97"/>
      <c r="AJ18" s="97"/>
      <c r="AK18" s="100">
        <f t="shared" si="12"/>
        <v>0</v>
      </c>
      <c r="AL18" s="39"/>
      <c r="AM18" s="98">
        <f t="shared" si="13"/>
        <v>0</v>
      </c>
      <c r="AN18" s="98">
        <f t="shared" si="14"/>
        <v>0</v>
      </c>
      <c r="AO18" s="94"/>
      <c r="AP18" s="94"/>
      <c r="AQ18" s="94"/>
      <c r="AR18" s="94" t="s">
        <v>75</v>
      </c>
      <c r="AS18" s="94"/>
    </row>
    <row r="19" spans="1:45">
      <c r="A19" s="94" t="s">
        <v>73</v>
      </c>
      <c r="B19" s="94">
        <v>783</v>
      </c>
      <c r="C19" s="94" t="s">
        <v>13</v>
      </c>
      <c r="D19" s="94" t="s">
        <v>13</v>
      </c>
      <c r="E19" s="94" t="s">
        <v>76</v>
      </c>
      <c r="F19" s="95" t="s">
        <v>148</v>
      </c>
      <c r="G19" s="94" t="s">
        <v>0</v>
      </c>
      <c r="H19" s="95" t="s">
        <v>37</v>
      </c>
      <c r="I19" s="94" t="s">
        <v>29</v>
      </c>
      <c r="J19" s="128"/>
      <c r="K19" s="94"/>
      <c r="L19" s="39">
        <v>870</v>
      </c>
      <c r="M19" s="157">
        <f t="shared" ref="M19:M20" si="24">L19/4.26</f>
        <v>204.22535211267606</v>
      </c>
      <c r="N19" s="96">
        <f t="shared" si="23"/>
        <v>247167612.67605636</v>
      </c>
      <c r="O19" s="96" t="s">
        <v>37</v>
      </c>
      <c r="P19" s="39"/>
      <c r="Q19" s="96" t="s">
        <v>38</v>
      </c>
      <c r="R19" s="96">
        <v>1210269</v>
      </c>
      <c r="S19" s="39" t="s">
        <v>89</v>
      </c>
      <c r="T19" s="97">
        <v>0.88</v>
      </c>
      <c r="U19" s="98">
        <f t="shared" si="8"/>
        <v>765.6</v>
      </c>
      <c r="V19" s="98">
        <f t="shared" si="9"/>
        <v>104.39999999999998</v>
      </c>
      <c r="W19" s="99"/>
      <c r="X19" s="94"/>
      <c r="Y19" s="39"/>
      <c r="Z19" s="39"/>
      <c r="AA19" s="149" t="s">
        <v>183</v>
      </c>
      <c r="AB19" s="94"/>
      <c r="AC19" s="39">
        <f t="shared" si="10"/>
        <v>765.6</v>
      </c>
      <c r="AD19" s="39">
        <v>0</v>
      </c>
      <c r="AE19" s="70" t="s">
        <v>53</v>
      </c>
      <c r="AF19" s="96">
        <v>1</v>
      </c>
      <c r="AG19" s="98" t="str">
        <f t="shared" si="11"/>
        <v>سهم پروژه</v>
      </c>
      <c r="AH19" s="39"/>
      <c r="AI19" s="97"/>
      <c r="AJ19" s="97"/>
      <c r="AK19" s="100">
        <f t="shared" si="12"/>
        <v>0</v>
      </c>
      <c r="AL19" s="39"/>
      <c r="AM19" s="98">
        <f t="shared" si="13"/>
        <v>0</v>
      </c>
      <c r="AN19" s="98">
        <f t="shared" si="14"/>
        <v>0</v>
      </c>
      <c r="AO19" s="94"/>
      <c r="AP19" s="94"/>
      <c r="AQ19" s="94"/>
      <c r="AR19" s="94" t="s">
        <v>75</v>
      </c>
      <c r="AS19" s="94"/>
    </row>
    <row r="20" spans="1:45">
      <c r="A20" s="94" t="s">
        <v>73</v>
      </c>
      <c r="B20" s="94">
        <v>433</v>
      </c>
      <c r="C20" s="94" t="s">
        <v>13</v>
      </c>
      <c r="D20" s="94" t="s">
        <v>13</v>
      </c>
      <c r="E20" s="94" t="s">
        <v>74</v>
      </c>
      <c r="F20" s="95" t="s">
        <v>148</v>
      </c>
      <c r="G20" s="94" t="s">
        <v>14</v>
      </c>
      <c r="H20" s="95" t="s">
        <v>37</v>
      </c>
      <c r="I20" s="94" t="s">
        <v>29</v>
      </c>
      <c r="J20" s="128"/>
      <c r="K20" s="94"/>
      <c r="L20" s="39">
        <v>419</v>
      </c>
      <c r="M20" s="157">
        <f t="shared" si="24"/>
        <v>98.356807511737088</v>
      </c>
      <c r="N20" s="96">
        <f>IF(P20&gt;0,L20*P20,M20*R20)</f>
        <v>119038195.07042253</v>
      </c>
      <c r="O20" s="96" t="s">
        <v>37</v>
      </c>
      <c r="P20" s="39"/>
      <c r="Q20" s="96" t="s">
        <v>38</v>
      </c>
      <c r="R20" s="96">
        <v>1210269</v>
      </c>
      <c r="S20" s="39" t="s">
        <v>89</v>
      </c>
      <c r="T20" s="97">
        <v>0.8</v>
      </c>
      <c r="U20" s="98">
        <f t="shared" si="8"/>
        <v>335.20000000000005</v>
      </c>
      <c r="V20" s="98">
        <f t="shared" si="9"/>
        <v>83.799999999999955</v>
      </c>
      <c r="W20" s="99"/>
      <c r="X20" s="94"/>
      <c r="Y20" s="39"/>
      <c r="Z20" s="39"/>
      <c r="AA20" s="149" t="s">
        <v>183</v>
      </c>
      <c r="AB20" s="94"/>
      <c r="AC20" s="39">
        <f>U20</f>
        <v>335.20000000000005</v>
      </c>
      <c r="AD20" s="39">
        <v>0</v>
      </c>
      <c r="AE20" s="70" t="s">
        <v>53</v>
      </c>
      <c r="AF20" s="96">
        <v>1</v>
      </c>
      <c r="AG20" s="98" t="str">
        <f t="shared" si="11"/>
        <v>سهم پروژه</v>
      </c>
      <c r="AH20" s="39"/>
      <c r="AI20" s="97"/>
      <c r="AJ20" s="97"/>
      <c r="AK20" s="100">
        <f t="shared" si="12"/>
        <v>0</v>
      </c>
      <c r="AL20" s="39"/>
      <c r="AM20" s="98">
        <f t="shared" si="13"/>
        <v>0</v>
      </c>
      <c r="AN20" s="98">
        <f t="shared" si="14"/>
        <v>0</v>
      </c>
      <c r="AO20" s="94"/>
      <c r="AP20" s="94"/>
      <c r="AQ20" s="94"/>
      <c r="AR20" s="94"/>
      <c r="AS20" s="94"/>
    </row>
    <row r="21" spans="1:45">
      <c r="A21" s="94" t="s">
        <v>73</v>
      </c>
      <c r="B21" s="94"/>
      <c r="C21" s="94"/>
      <c r="D21" s="94"/>
      <c r="E21" s="94" t="s">
        <v>80</v>
      </c>
      <c r="F21" s="95" t="s">
        <v>156</v>
      </c>
      <c r="G21" s="94" t="s">
        <v>0</v>
      </c>
      <c r="H21" s="95" t="s">
        <v>37</v>
      </c>
      <c r="I21" s="94" t="s">
        <v>36</v>
      </c>
      <c r="J21" s="128">
        <v>45971</v>
      </c>
      <c r="K21" s="123" t="s">
        <v>40</v>
      </c>
      <c r="L21" s="39"/>
      <c r="M21" s="39"/>
      <c r="N21" s="96">
        <f>P21*AD21</f>
        <v>11081733</v>
      </c>
      <c r="O21" s="96" t="s">
        <v>37</v>
      </c>
      <c r="P21" s="96">
        <v>284147</v>
      </c>
      <c r="Q21" s="96" t="s">
        <v>38</v>
      </c>
      <c r="R21" s="96"/>
      <c r="S21" s="39" t="s">
        <v>89</v>
      </c>
      <c r="T21" s="97"/>
      <c r="U21" s="98">
        <f t="shared" si="0"/>
        <v>0</v>
      </c>
      <c r="V21" s="98">
        <f t="shared" si="1"/>
        <v>0</v>
      </c>
      <c r="W21" s="99">
        <v>19661</v>
      </c>
      <c r="X21" s="94" t="s">
        <v>30</v>
      </c>
      <c r="Y21" s="96">
        <v>75000000</v>
      </c>
      <c r="Z21" s="39" t="s">
        <v>15</v>
      </c>
      <c r="AA21" s="94" t="s">
        <v>184</v>
      </c>
      <c r="AB21" s="94">
        <v>1</v>
      </c>
      <c r="AC21" s="39">
        <v>0</v>
      </c>
      <c r="AD21" s="102">
        <v>39</v>
      </c>
      <c r="AE21" s="70" t="s">
        <v>191</v>
      </c>
      <c r="AF21" s="96">
        <v>2</v>
      </c>
      <c r="AG21" s="98" t="str">
        <f t="shared" si="6"/>
        <v>پرداخت</v>
      </c>
      <c r="AH21" s="104"/>
      <c r="AI21" s="97"/>
      <c r="AJ21" s="97"/>
      <c r="AK21" s="100">
        <f t="shared" si="3"/>
        <v>0</v>
      </c>
      <c r="AL21" s="39"/>
      <c r="AM21" s="98">
        <f t="shared" si="4"/>
        <v>0</v>
      </c>
      <c r="AN21" s="98">
        <f t="shared" si="5"/>
        <v>0</v>
      </c>
      <c r="AO21" s="94"/>
      <c r="AP21" s="94"/>
      <c r="AQ21" s="39">
        <f t="shared" ref="AQ21" si="25">AD21*100/87</f>
        <v>44.827586206896555</v>
      </c>
      <c r="AR21" s="94" t="s">
        <v>79</v>
      </c>
      <c r="AS21" s="94"/>
    </row>
    <row r="22" spans="1:45">
      <c r="A22" s="94" t="s">
        <v>73</v>
      </c>
      <c r="B22" s="94"/>
      <c r="C22" s="94"/>
      <c r="D22" s="94"/>
      <c r="E22" s="94" t="s">
        <v>81</v>
      </c>
      <c r="F22" s="95" t="s">
        <v>148</v>
      </c>
      <c r="G22" s="94" t="s">
        <v>0</v>
      </c>
      <c r="H22" s="95" t="s">
        <v>37</v>
      </c>
      <c r="I22" s="94" t="s">
        <v>42</v>
      </c>
      <c r="J22" s="128">
        <v>45974</v>
      </c>
      <c r="K22" s="123" t="s">
        <v>42</v>
      </c>
      <c r="L22" s="39"/>
      <c r="M22" s="39"/>
      <c r="N22" s="96">
        <f>P22*AD22</f>
        <v>24437502</v>
      </c>
      <c r="O22" s="96" t="s">
        <v>37</v>
      </c>
      <c r="P22" s="96">
        <v>284157</v>
      </c>
      <c r="Q22" s="96" t="s">
        <v>38</v>
      </c>
      <c r="R22" s="96"/>
      <c r="S22" s="39" t="s">
        <v>89</v>
      </c>
      <c r="T22" s="97"/>
      <c r="U22" s="98">
        <f t="shared" si="0"/>
        <v>0</v>
      </c>
      <c r="V22" s="98">
        <f t="shared" si="1"/>
        <v>0</v>
      </c>
      <c r="W22" s="99">
        <v>19928</v>
      </c>
      <c r="X22" s="94" t="s">
        <v>40</v>
      </c>
      <c r="Y22" s="39">
        <v>51963</v>
      </c>
      <c r="Z22" s="101" t="s">
        <v>38</v>
      </c>
      <c r="AA22" s="149" t="s">
        <v>185</v>
      </c>
      <c r="AB22" s="94">
        <v>2</v>
      </c>
      <c r="AC22" s="39">
        <v>0</v>
      </c>
      <c r="AD22" s="102">
        <v>86</v>
      </c>
      <c r="AE22" s="70" t="s">
        <v>192</v>
      </c>
      <c r="AF22" s="96">
        <v>2</v>
      </c>
      <c r="AG22" s="98" t="str">
        <f t="shared" ref="AG22:AG29" si="26">IF(ISNUMBER(SEARCH("عودت قرض", AE22)),"عودت قرض",IF(ISNUMBER(SEARCH("قرض", AE22)),"قرض",IF(ISNUMBER(SEARCH("کارمزد بانکی", AE22)),"کارمزد بانکی",IF(ISNUMBER(SEARCH("سهم پروژه", AE22)),"سهم پروژه",IF(ISNUMBER(SEARCH("سهم بالاسری", AE22)),"ستاد",IF(ISNUMBER(SEARCH("پرداخت", AE22)),"پرداخت","-"))))))</f>
        <v>پرداخت</v>
      </c>
      <c r="AH22" s="104"/>
      <c r="AI22" s="97"/>
      <c r="AJ22" s="97"/>
      <c r="AK22" s="100">
        <f t="shared" si="3"/>
        <v>0</v>
      </c>
      <c r="AL22" s="39"/>
      <c r="AM22" s="98">
        <f t="shared" si="4"/>
        <v>0</v>
      </c>
      <c r="AN22" s="98">
        <f t="shared" si="5"/>
        <v>0</v>
      </c>
      <c r="AO22" s="94"/>
      <c r="AP22" s="94"/>
      <c r="AQ22" s="94"/>
      <c r="AR22" s="94" t="s">
        <v>16</v>
      </c>
      <c r="AS22" s="94"/>
    </row>
    <row r="23" spans="1:45">
      <c r="A23" s="94" t="s">
        <v>73</v>
      </c>
      <c r="B23" s="94"/>
      <c r="C23" s="94"/>
      <c r="D23" s="94"/>
      <c r="E23" s="94" t="s">
        <v>81</v>
      </c>
      <c r="F23" s="95" t="s">
        <v>148</v>
      </c>
      <c r="G23" s="94" t="s">
        <v>0</v>
      </c>
      <c r="H23" s="95" t="s">
        <v>37</v>
      </c>
      <c r="I23" s="94" t="s">
        <v>42</v>
      </c>
      <c r="J23" s="128"/>
      <c r="K23" s="94"/>
      <c r="L23" s="39"/>
      <c r="M23" s="39"/>
      <c r="N23" s="96"/>
      <c r="O23" s="96" t="s">
        <v>37</v>
      </c>
      <c r="P23" s="96"/>
      <c r="Q23" s="96" t="s">
        <v>38</v>
      </c>
      <c r="R23" s="96"/>
      <c r="S23" s="39"/>
      <c r="T23" s="97"/>
      <c r="U23" s="98">
        <f t="shared" si="0"/>
        <v>0</v>
      </c>
      <c r="V23" s="98">
        <f t="shared" si="1"/>
        <v>0</v>
      </c>
      <c r="W23" s="99"/>
      <c r="X23" s="94"/>
      <c r="Y23" s="39"/>
      <c r="Z23" s="101"/>
      <c r="AA23" s="94"/>
      <c r="AB23" s="94"/>
      <c r="AC23" s="39">
        <v>0</v>
      </c>
      <c r="AD23" s="103">
        <v>105</v>
      </c>
      <c r="AE23" s="70" t="s">
        <v>149</v>
      </c>
      <c r="AF23" s="96">
        <v>2</v>
      </c>
      <c r="AG23" s="98" t="str">
        <f t="shared" si="26"/>
        <v>کارمزد بانکی</v>
      </c>
      <c r="AH23" s="104">
        <f>AD23/AD22</f>
        <v>1.2209302325581395</v>
      </c>
      <c r="AI23" s="97"/>
      <c r="AJ23" s="97"/>
      <c r="AK23" s="100">
        <f t="shared" si="3"/>
        <v>0</v>
      </c>
      <c r="AL23" s="39"/>
      <c r="AM23" s="98">
        <f t="shared" si="4"/>
        <v>0</v>
      </c>
      <c r="AN23" s="98">
        <f t="shared" si="5"/>
        <v>0</v>
      </c>
      <c r="AO23" s="94"/>
      <c r="AP23" s="94"/>
      <c r="AQ23" s="94"/>
      <c r="AR23" s="94"/>
      <c r="AS23" s="94"/>
    </row>
    <row r="24" spans="1:45">
      <c r="A24" s="94" t="s">
        <v>73</v>
      </c>
      <c r="B24" s="94"/>
      <c r="C24" s="94"/>
      <c r="D24" s="94"/>
      <c r="E24" s="94"/>
      <c r="F24" s="95" t="s">
        <v>148</v>
      </c>
      <c r="G24" s="94" t="s">
        <v>9</v>
      </c>
      <c r="H24" s="95" t="s">
        <v>37</v>
      </c>
      <c r="I24" s="94" t="s">
        <v>70</v>
      </c>
      <c r="J24" s="128"/>
      <c r="K24" s="94"/>
      <c r="L24" s="39"/>
      <c r="M24" s="39"/>
      <c r="N24" s="96"/>
      <c r="O24" s="96" t="s">
        <v>37</v>
      </c>
      <c r="P24" s="96"/>
      <c r="Q24" s="96" t="s">
        <v>38</v>
      </c>
      <c r="R24" s="96"/>
      <c r="S24" s="39"/>
      <c r="T24" s="97"/>
      <c r="U24" s="98">
        <f t="shared" si="0"/>
        <v>0</v>
      </c>
      <c r="V24" s="98">
        <f t="shared" si="1"/>
        <v>0</v>
      </c>
      <c r="W24" s="99"/>
      <c r="X24" s="94"/>
      <c r="Y24" s="39"/>
      <c r="Z24" s="39"/>
      <c r="AA24" s="94"/>
      <c r="AB24" s="94"/>
      <c r="AC24" s="39">
        <v>0</v>
      </c>
      <c r="AD24" s="39">
        <v>105</v>
      </c>
      <c r="AE24" s="70" t="s">
        <v>150</v>
      </c>
      <c r="AF24" s="96">
        <v>4</v>
      </c>
      <c r="AG24" s="98" t="str">
        <f t="shared" si="26"/>
        <v>قرض</v>
      </c>
      <c r="AH24" s="104"/>
      <c r="AI24" s="97"/>
      <c r="AJ24" s="97"/>
      <c r="AK24" s="100">
        <f t="shared" si="3"/>
        <v>0</v>
      </c>
      <c r="AL24" s="39"/>
      <c r="AM24" s="98">
        <f t="shared" si="4"/>
        <v>0</v>
      </c>
      <c r="AN24" s="98">
        <f t="shared" si="5"/>
        <v>0</v>
      </c>
      <c r="AO24" s="94" t="s">
        <v>0</v>
      </c>
      <c r="AP24" s="95" t="s">
        <v>148</v>
      </c>
      <c r="AQ24" s="95"/>
      <c r="AR24" s="94"/>
      <c r="AS24" s="94"/>
    </row>
    <row r="25" spans="1:45">
      <c r="A25" s="94" t="s">
        <v>73</v>
      </c>
      <c r="B25" s="94"/>
      <c r="C25" s="94"/>
      <c r="D25" s="94"/>
      <c r="E25" s="94"/>
      <c r="F25" s="95" t="s">
        <v>148</v>
      </c>
      <c r="G25" s="94" t="s">
        <v>0</v>
      </c>
      <c r="H25" s="95" t="s">
        <v>37</v>
      </c>
      <c r="I25" s="94" t="s">
        <v>70</v>
      </c>
      <c r="J25" s="128"/>
      <c r="K25" s="94"/>
      <c r="L25" s="39"/>
      <c r="M25" s="39"/>
      <c r="N25" s="96"/>
      <c r="O25" s="96" t="s">
        <v>37</v>
      </c>
      <c r="P25" s="96"/>
      <c r="Q25" s="96" t="s">
        <v>38</v>
      </c>
      <c r="R25" s="96"/>
      <c r="S25" s="39"/>
      <c r="T25" s="97"/>
      <c r="U25" s="98">
        <f t="shared" si="0"/>
        <v>0</v>
      </c>
      <c r="V25" s="98">
        <f t="shared" si="1"/>
        <v>0</v>
      </c>
      <c r="W25" s="99"/>
      <c r="X25" s="94"/>
      <c r="Y25" s="39"/>
      <c r="Z25" s="39"/>
      <c r="AA25" s="94"/>
      <c r="AB25" s="94"/>
      <c r="AC25" s="39">
        <v>105</v>
      </c>
      <c r="AD25" s="39">
        <v>0</v>
      </c>
      <c r="AE25" s="70" t="s">
        <v>150</v>
      </c>
      <c r="AF25" s="96">
        <v>4</v>
      </c>
      <c r="AG25" s="98" t="str">
        <f t="shared" si="26"/>
        <v>قرض</v>
      </c>
      <c r="AH25" s="104"/>
      <c r="AI25" s="97"/>
      <c r="AJ25" s="97"/>
      <c r="AK25" s="100">
        <f t="shared" si="3"/>
        <v>0</v>
      </c>
      <c r="AL25" s="39"/>
      <c r="AM25" s="98">
        <f t="shared" si="4"/>
        <v>0</v>
      </c>
      <c r="AN25" s="98">
        <f t="shared" si="5"/>
        <v>0</v>
      </c>
      <c r="AO25" s="94" t="s">
        <v>9</v>
      </c>
      <c r="AP25" s="95" t="s">
        <v>148</v>
      </c>
      <c r="AQ25" s="95"/>
      <c r="AR25" s="94"/>
      <c r="AS25" s="94"/>
    </row>
    <row r="26" spans="1:45">
      <c r="A26" s="94" t="s">
        <v>73</v>
      </c>
      <c r="B26" s="94"/>
      <c r="C26" s="94"/>
      <c r="D26" s="94"/>
      <c r="E26" s="94" t="s">
        <v>82</v>
      </c>
      <c r="F26" s="95" t="s">
        <v>148</v>
      </c>
      <c r="G26" s="94" t="s">
        <v>0</v>
      </c>
      <c r="H26" s="95" t="s">
        <v>37</v>
      </c>
      <c r="I26" s="94" t="s">
        <v>99</v>
      </c>
      <c r="J26" s="128">
        <v>45978</v>
      </c>
      <c r="K26" s="123" t="s">
        <v>99</v>
      </c>
      <c r="L26" s="39"/>
      <c r="M26" s="39"/>
      <c r="N26" s="96">
        <f>P26*AD26</f>
        <v>28139681.924999997</v>
      </c>
      <c r="O26" s="96" t="s">
        <v>37</v>
      </c>
      <c r="P26" s="107">
        <v>302577.22499999998</v>
      </c>
      <c r="Q26" s="96" t="s">
        <v>38</v>
      </c>
      <c r="R26" s="96">
        <v>850700.5</v>
      </c>
      <c r="S26" s="39" t="s">
        <v>89</v>
      </c>
      <c r="T26" s="97"/>
      <c r="U26" s="98">
        <f t="shared" si="0"/>
        <v>0</v>
      </c>
      <c r="V26" s="98">
        <f t="shared" si="1"/>
        <v>0</v>
      </c>
      <c r="W26" s="99">
        <v>19940</v>
      </c>
      <c r="X26" s="94" t="s">
        <v>41</v>
      </c>
      <c r="Y26" s="39">
        <v>40590</v>
      </c>
      <c r="Z26" s="101" t="s">
        <v>38</v>
      </c>
      <c r="AA26" s="94" t="s">
        <v>186</v>
      </c>
      <c r="AB26" s="94">
        <v>3</v>
      </c>
      <c r="AC26" s="39">
        <v>0</v>
      </c>
      <c r="AD26" s="105">
        <v>93</v>
      </c>
      <c r="AE26" s="70" t="s">
        <v>193</v>
      </c>
      <c r="AF26" s="96">
        <v>2</v>
      </c>
      <c r="AG26" s="98" t="str">
        <f t="shared" si="26"/>
        <v>پرداخت</v>
      </c>
      <c r="AH26" s="104"/>
      <c r="AI26" s="97"/>
      <c r="AJ26" s="97"/>
      <c r="AK26" s="100">
        <f t="shared" si="3"/>
        <v>0</v>
      </c>
      <c r="AL26" s="39"/>
      <c r="AM26" s="98">
        <f t="shared" si="4"/>
        <v>0</v>
      </c>
      <c r="AN26" s="98">
        <f t="shared" si="5"/>
        <v>0</v>
      </c>
      <c r="AO26" s="94"/>
      <c r="AP26" s="94"/>
      <c r="AQ26" s="94"/>
      <c r="AR26" s="94" t="s">
        <v>79</v>
      </c>
      <c r="AS26" s="94"/>
    </row>
    <row r="27" spans="1:45">
      <c r="A27" s="94" t="s">
        <v>73</v>
      </c>
      <c r="B27" s="94"/>
      <c r="C27" s="94"/>
      <c r="D27" s="94"/>
      <c r="E27" s="94" t="s">
        <v>82</v>
      </c>
      <c r="F27" s="95" t="s">
        <v>148</v>
      </c>
      <c r="G27" s="94" t="s">
        <v>0</v>
      </c>
      <c r="H27" s="95" t="s">
        <v>37</v>
      </c>
      <c r="I27" s="94" t="s">
        <v>99</v>
      </c>
      <c r="J27" s="128"/>
      <c r="K27" s="94"/>
      <c r="L27" s="39"/>
      <c r="M27" s="39"/>
      <c r="N27" s="96"/>
      <c r="O27" s="96" t="s">
        <v>37</v>
      </c>
      <c r="P27" s="96"/>
      <c r="Q27" s="96" t="s">
        <v>38</v>
      </c>
      <c r="R27" s="96"/>
      <c r="S27" s="38"/>
      <c r="T27" s="97"/>
      <c r="U27" s="98">
        <f t="shared" si="0"/>
        <v>0</v>
      </c>
      <c r="V27" s="98">
        <f t="shared" si="1"/>
        <v>0</v>
      </c>
      <c r="W27" s="99"/>
      <c r="X27" s="94"/>
      <c r="Y27" s="39"/>
      <c r="Z27" s="101"/>
      <c r="AA27" s="94"/>
      <c r="AB27" s="94"/>
      <c r="AC27" s="39">
        <v>0</v>
      </c>
      <c r="AD27" s="106">
        <v>17</v>
      </c>
      <c r="AE27" s="70" t="s">
        <v>149</v>
      </c>
      <c r="AF27" s="96">
        <v>2</v>
      </c>
      <c r="AG27" s="98" t="str">
        <f t="shared" si="26"/>
        <v>کارمزد بانکی</v>
      </c>
      <c r="AH27" s="104">
        <f>AD27/AD26</f>
        <v>0.18279569892473119</v>
      </c>
      <c r="AI27" s="97"/>
      <c r="AJ27" s="97"/>
      <c r="AK27" s="100">
        <f t="shared" si="3"/>
        <v>0</v>
      </c>
      <c r="AL27" s="39"/>
      <c r="AM27" s="98">
        <f t="shared" si="4"/>
        <v>0</v>
      </c>
      <c r="AN27" s="98">
        <f t="shared" si="5"/>
        <v>0</v>
      </c>
      <c r="AO27" s="94"/>
      <c r="AP27" s="94"/>
      <c r="AQ27" s="94"/>
      <c r="AR27" s="94"/>
      <c r="AS27" s="94"/>
    </row>
    <row r="28" spans="1:45">
      <c r="A28" s="94" t="s">
        <v>73</v>
      </c>
      <c r="B28" s="94"/>
      <c r="C28" s="94"/>
      <c r="D28" s="94"/>
      <c r="E28" s="94" t="s">
        <v>20</v>
      </c>
      <c r="F28" s="95" t="s">
        <v>156</v>
      </c>
      <c r="G28" s="94" t="s">
        <v>0</v>
      </c>
      <c r="H28" s="95" t="s">
        <v>37</v>
      </c>
      <c r="I28" s="94" t="s">
        <v>99</v>
      </c>
      <c r="J28" s="128">
        <v>45978</v>
      </c>
      <c r="K28" s="123" t="s">
        <v>99</v>
      </c>
      <c r="L28" s="39"/>
      <c r="M28" s="39"/>
      <c r="N28" s="96">
        <f>P28*AD28</f>
        <v>16363368</v>
      </c>
      <c r="O28" s="96" t="s">
        <v>37</v>
      </c>
      <c r="P28" s="108">
        <v>292203</v>
      </c>
      <c r="Q28" s="96" t="s">
        <v>38</v>
      </c>
      <c r="R28" s="96"/>
      <c r="S28" s="39" t="s">
        <v>89</v>
      </c>
      <c r="T28" s="97"/>
      <c r="U28" s="98">
        <f t="shared" si="0"/>
        <v>0</v>
      </c>
      <c r="V28" s="98">
        <f t="shared" si="1"/>
        <v>0</v>
      </c>
      <c r="W28" s="99">
        <v>19897</v>
      </c>
      <c r="X28" s="94" t="s">
        <v>35</v>
      </c>
      <c r="Y28" s="96">
        <v>25899700</v>
      </c>
      <c r="Z28" s="39" t="s">
        <v>15</v>
      </c>
      <c r="AA28" s="149" t="s">
        <v>187</v>
      </c>
      <c r="AB28" s="94">
        <v>4</v>
      </c>
      <c r="AC28" s="39">
        <v>0</v>
      </c>
      <c r="AD28" s="105">
        <v>56</v>
      </c>
      <c r="AE28" s="70" t="s">
        <v>194</v>
      </c>
      <c r="AF28" s="96">
        <v>2</v>
      </c>
      <c r="AG28" s="98" t="str">
        <f t="shared" si="26"/>
        <v>پرداخت</v>
      </c>
      <c r="AH28" s="104"/>
      <c r="AI28" s="97"/>
      <c r="AJ28" s="97"/>
      <c r="AK28" s="100">
        <f t="shared" si="3"/>
        <v>0</v>
      </c>
      <c r="AL28" s="39"/>
      <c r="AM28" s="98">
        <f t="shared" si="4"/>
        <v>0</v>
      </c>
      <c r="AN28" s="98">
        <f t="shared" si="5"/>
        <v>0</v>
      </c>
      <c r="AO28" s="94"/>
      <c r="AP28" s="94"/>
      <c r="AQ28" s="39">
        <f>AD28*100/87</f>
        <v>64.367816091954026</v>
      </c>
      <c r="AR28" s="94" t="s">
        <v>78</v>
      </c>
      <c r="AS28" s="94"/>
    </row>
    <row r="29" spans="1:45">
      <c r="A29" s="94" t="s">
        <v>73</v>
      </c>
      <c r="B29" s="94"/>
      <c r="C29" s="94"/>
      <c r="D29" s="94"/>
      <c r="E29" s="94" t="s">
        <v>20</v>
      </c>
      <c r="F29" s="95" t="s">
        <v>156</v>
      </c>
      <c r="G29" s="94" t="s">
        <v>0</v>
      </c>
      <c r="H29" s="95" t="s">
        <v>37</v>
      </c>
      <c r="I29" s="94" t="s">
        <v>99</v>
      </c>
      <c r="J29" s="128"/>
      <c r="K29" s="94"/>
      <c r="L29" s="39"/>
      <c r="M29" s="39"/>
      <c r="N29" s="96"/>
      <c r="O29" s="96" t="s">
        <v>37</v>
      </c>
      <c r="P29" s="108"/>
      <c r="Q29" s="96" t="s">
        <v>38</v>
      </c>
      <c r="R29" s="96"/>
      <c r="S29" s="39"/>
      <c r="T29" s="97"/>
      <c r="U29" s="98">
        <f t="shared" si="0"/>
        <v>0</v>
      </c>
      <c r="V29" s="98">
        <f t="shared" si="1"/>
        <v>0</v>
      </c>
      <c r="W29" s="99"/>
      <c r="X29" s="94"/>
      <c r="Y29" s="96"/>
      <c r="Z29" s="39"/>
      <c r="AA29" s="94"/>
      <c r="AB29" s="94"/>
      <c r="AC29" s="39">
        <v>0</v>
      </c>
      <c r="AD29" s="106">
        <v>7</v>
      </c>
      <c r="AE29" s="70" t="s">
        <v>214</v>
      </c>
      <c r="AF29" s="96">
        <v>2</v>
      </c>
      <c r="AG29" s="98" t="str">
        <f t="shared" si="26"/>
        <v>کارمزد بانکی</v>
      </c>
      <c r="AH29" s="104">
        <f>AD29/AD28</f>
        <v>0.125</v>
      </c>
      <c r="AI29" s="97"/>
      <c r="AJ29" s="97"/>
      <c r="AK29" s="100">
        <f t="shared" si="3"/>
        <v>0</v>
      </c>
      <c r="AL29" s="39"/>
      <c r="AM29" s="98">
        <f t="shared" si="4"/>
        <v>0</v>
      </c>
      <c r="AN29" s="98">
        <f t="shared" si="5"/>
        <v>0</v>
      </c>
      <c r="AO29" s="94"/>
      <c r="AP29" s="94"/>
      <c r="AQ29" s="39">
        <f>AD29*100/87</f>
        <v>8.0459770114942533</v>
      </c>
      <c r="AR29" s="94"/>
      <c r="AS29" s="94"/>
    </row>
    <row r="30" spans="1:45">
      <c r="A30" s="94" t="s">
        <v>73</v>
      </c>
      <c r="B30" s="94"/>
      <c r="C30" s="94"/>
      <c r="D30" s="94"/>
      <c r="E30" s="94"/>
      <c r="F30" s="95" t="s">
        <v>156</v>
      </c>
      <c r="G30" s="94" t="s">
        <v>0</v>
      </c>
      <c r="H30" s="95" t="s">
        <v>37</v>
      </c>
      <c r="I30" s="94" t="s">
        <v>34</v>
      </c>
      <c r="J30" s="128"/>
      <c r="K30" s="94"/>
      <c r="L30" s="39"/>
      <c r="M30" s="39"/>
      <c r="N30" s="96"/>
      <c r="O30" s="96" t="s">
        <v>37</v>
      </c>
      <c r="P30" s="96"/>
      <c r="Q30" s="96" t="s">
        <v>38</v>
      </c>
      <c r="R30" s="96"/>
      <c r="S30" s="39"/>
      <c r="T30" s="97"/>
      <c r="U30" s="98">
        <f t="shared" ref="U30:U43" si="27">L30*T30</f>
        <v>0</v>
      </c>
      <c r="V30" s="98">
        <f t="shared" ref="V30:V43" si="28">L30-U30</f>
        <v>0</v>
      </c>
      <c r="W30" s="99"/>
      <c r="X30" s="94" t="s">
        <v>34</v>
      </c>
      <c r="Y30" s="39"/>
      <c r="Z30" s="39"/>
      <c r="AA30" s="94"/>
      <c r="AB30" s="94"/>
      <c r="AC30" s="39">
        <v>0</v>
      </c>
      <c r="AD30" s="96">
        <v>170</v>
      </c>
      <c r="AE30" s="70" t="s">
        <v>211</v>
      </c>
      <c r="AF30" s="96">
        <v>4</v>
      </c>
      <c r="AG30" s="98" t="str">
        <f>IF(ISNUMBER(SEARCH("عودت قرض", AE30)),"عودت قرض",IF(ISNUMBER(SEARCH("قرض", AE30)),"قرض",IF(ISNUMBER(SEARCH("کارمزد بانکی", AE30)),"کارمزد بانکی",IF(ISNUMBER(SEARCH("سهم پروژه", AE30)),"سهم پروژه",IF(ISNUMBER(SEARCH("سهم بالاسری", AE30)),"ستاد",IF(ISNUMBER(SEARCH("پرداخت", AE30)),"پرداخت","-"))))))</f>
        <v>قرض</v>
      </c>
      <c r="AH30" s="104"/>
      <c r="AI30" s="97"/>
      <c r="AJ30" s="97"/>
      <c r="AK30" s="100">
        <f t="shared" ref="AK30:AK43" si="29">IF(AJ30&gt;0,(AI30-AJ30)/AI30,0)</f>
        <v>0</v>
      </c>
      <c r="AL30" s="39"/>
      <c r="AM30" s="98">
        <f t="shared" ref="AM30:AM43" si="30">IF(AL30&gt;0,AL30*AK30,0)</f>
        <v>0</v>
      </c>
      <c r="AN30" s="98">
        <f t="shared" ref="AN30:AN43" si="31">AL30-AM30</f>
        <v>0</v>
      </c>
      <c r="AO30" s="94" t="s">
        <v>1</v>
      </c>
      <c r="AP30" s="95" t="s">
        <v>156</v>
      </c>
      <c r="AQ30" s="39">
        <f>AD30*100/87</f>
        <v>195.40229885057471</v>
      </c>
      <c r="AR30" s="94"/>
      <c r="AS30" s="94"/>
    </row>
    <row r="31" spans="1:45">
      <c r="A31" s="94" t="s">
        <v>73</v>
      </c>
      <c r="B31" s="94"/>
      <c r="C31" s="94"/>
      <c r="D31" s="94"/>
      <c r="E31" s="94"/>
      <c r="F31" s="95" t="s">
        <v>156</v>
      </c>
      <c r="G31" s="94" t="s">
        <v>1</v>
      </c>
      <c r="H31" s="95" t="s">
        <v>37</v>
      </c>
      <c r="I31" s="94" t="s">
        <v>34</v>
      </c>
      <c r="J31" s="128"/>
      <c r="K31" s="94"/>
      <c r="L31" s="39"/>
      <c r="M31" s="39"/>
      <c r="N31" s="96"/>
      <c r="O31" s="96" t="s">
        <v>37</v>
      </c>
      <c r="P31" s="96"/>
      <c r="Q31" s="96" t="s">
        <v>38</v>
      </c>
      <c r="R31" s="96"/>
      <c r="S31" s="39"/>
      <c r="T31" s="97"/>
      <c r="U31" s="98">
        <f t="shared" si="27"/>
        <v>0</v>
      </c>
      <c r="V31" s="98">
        <f t="shared" si="28"/>
        <v>0</v>
      </c>
      <c r="W31" s="99"/>
      <c r="X31" s="94" t="s">
        <v>34</v>
      </c>
      <c r="Y31" s="39"/>
      <c r="Z31" s="39"/>
      <c r="AA31" s="94"/>
      <c r="AB31" s="94"/>
      <c r="AC31" s="96">
        <v>170</v>
      </c>
      <c r="AD31" s="39">
        <v>0</v>
      </c>
      <c r="AE31" s="70" t="s">
        <v>211</v>
      </c>
      <c r="AF31" s="96">
        <v>4</v>
      </c>
      <c r="AG31" s="98" t="str">
        <f>IF(ISNUMBER(SEARCH("عودت قرض", AE31)),"عودت قرض",IF(ISNUMBER(SEARCH("قرض", AE31)),"قرض",IF(ISNUMBER(SEARCH("کارمزد بانکی", AE31)),"کارمزد بانکی",IF(ISNUMBER(SEARCH("سهم پروژه", AE31)),"سهم پروژه",IF(ISNUMBER(SEARCH("سهم بالاسری", AE31)),"ستاد",IF(ISNUMBER(SEARCH("پرداخت", AE31)),"پرداخت","-"))))))</f>
        <v>قرض</v>
      </c>
      <c r="AH31" s="104"/>
      <c r="AI31" s="97"/>
      <c r="AJ31" s="97"/>
      <c r="AK31" s="100">
        <f t="shared" si="29"/>
        <v>0</v>
      </c>
      <c r="AL31" s="39"/>
      <c r="AM31" s="98">
        <f t="shared" si="30"/>
        <v>0</v>
      </c>
      <c r="AN31" s="98">
        <f t="shared" si="31"/>
        <v>0</v>
      </c>
      <c r="AO31" s="94" t="s">
        <v>0</v>
      </c>
      <c r="AP31" s="95" t="s">
        <v>156</v>
      </c>
      <c r="AQ31" s="95"/>
      <c r="AR31" s="94"/>
      <c r="AS31" s="94"/>
    </row>
    <row r="32" spans="1:45" ht="31.5">
      <c r="A32" s="94" t="s">
        <v>73</v>
      </c>
      <c r="B32" s="94"/>
      <c r="C32" s="94"/>
      <c r="D32" s="94"/>
      <c r="E32" s="94" t="s">
        <v>19</v>
      </c>
      <c r="F32" s="95" t="s">
        <v>156</v>
      </c>
      <c r="G32" s="94" t="s">
        <v>1</v>
      </c>
      <c r="H32" s="95" t="s">
        <v>37</v>
      </c>
      <c r="I32" s="94" t="s">
        <v>34</v>
      </c>
      <c r="J32" s="128">
        <v>45979</v>
      </c>
      <c r="K32" s="123" t="s">
        <v>34</v>
      </c>
      <c r="L32" s="39"/>
      <c r="M32" s="39"/>
      <c r="N32" s="96">
        <f>P32*AD32</f>
        <v>22301512.5</v>
      </c>
      <c r="O32" s="96" t="s">
        <v>37</v>
      </c>
      <c r="P32" s="107">
        <v>297353.5</v>
      </c>
      <c r="Q32" s="96" t="s">
        <v>38</v>
      </c>
      <c r="R32" s="96"/>
      <c r="S32" s="39" t="s">
        <v>89</v>
      </c>
      <c r="T32" s="97"/>
      <c r="U32" s="98">
        <f t="shared" si="27"/>
        <v>0</v>
      </c>
      <c r="V32" s="98">
        <f t="shared" si="28"/>
        <v>0</v>
      </c>
      <c r="W32" s="99">
        <v>19978</v>
      </c>
      <c r="X32" s="94" t="s">
        <v>34</v>
      </c>
      <c r="Y32" s="96">
        <v>31539630</v>
      </c>
      <c r="Z32" s="39" t="s">
        <v>15</v>
      </c>
      <c r="AA32" s="149" t="s">
        <v>188</v>
      </c>
      <c r="AB32" s="94">
        <v>5</v>
      </c>
      <c r="AC32" s="39">
        <v>0</v>
      </c>
      <c r="AD32" s="102">
        <v>75</v>
      </c>
      <c r="AE32" s="70" t="s">
        <v>195</v>
      </c>
      <c r="AF32" s="96">
        <v>2</v>
      </c>
      <c r="AG32" s="98" t="str">
        <f t="shared" ref="AG32:AG33" si="32">IF(ISNUMBER(SEARCH("عودت قرض", AE32)),"عودت قرض",IF(ISNUMBER(SEARCH("قرض", AE32)),"قرض",IF(ISNUMBER(SEARCH("کارمزد بانکی", AE32)),"کارمزد بانکی",IF(ISNUMBER(SEARCH("سهم پروژه", AE32)),"سهم پروژه",IF(ISNUMBER(SEARCH("سهم بالاسری", AE32)),"ستاد",IF(ISNUMBER(SEARCH("پرداخت", AE32)),"پرداخت","-"))))))</f>
        <v>پرداخت</v>
      </c>
      <c r="AH32" s="104"/>
      <c r="AI32" s="97"/>
      <c r="AJ32" s="97"/>
      <c r="AK32" s="100">
        <f t="shared" si="29"/>
        <v>0</v>
      </c>
      <c r="AL32" s="39"/>
      <c r="AM32" s="98">
        <f t="shared" si="30"/>
        <v>0</v>
      </c>
      <c r="AN32" s="98">
        <f t="shared" si="31"/>
        <v>0</v>
      </c>
      <c r="AO32" s="94"/>
      <c r="AP32" s="94"/>
      <c r="AQ32" s="39">
        <f>AD32*100/87</f>
        <v>86.206896551724142</v>
      </c>
      <c r="AR32" s="94" t="s">
        <v>100</v>
      </c>
      <c r="AS32" s="94"/>
    </row>
    <row r="33" spans="1:45">
      <c r="A33" s="94" t="s">
        <v>73</v>
      </c>
      <c r="B33" s="94"/>
      <c r="C33" s="94"/>
      <c r="D33" s="94"/>
      <c r="E33" s="94" t="s">
        <v>19</v>
      </c>
      <c r="F33" s="95" t="s">
        <v>156</v>
      </c>
      <c r="G33" s="94" t="s">
        <v>1</v>
      </c>
      <c r="H33" s="95" t="s">
        <v>37</v>
      </c>
      <c r="I33" s="94" t="s">
        <v>34</v>
      </c>
      <c r="J33" s="128"/>
      <c r="K33" s="94"/>
      <c r="L33" s="39"/>
      <c r="M33" s="39"/>
      <c r="N33" s="96"/>
      <c r="O33" s="96" t="s">
        <v>37</v>
      </c>
      <c r="P33" s="39"/>
      <c r="Q33" s="96" t="s">
        <v>38</v>
      </c>
      <c r="R33" s="96"/>
      <c r="S33" s="39"/>
      <c r="T33" s="97"/>
      <c r="U33" s="98">
        <f t="shared" si="27"/>
        <v>0</v>
      </c>
      <c r="V33" s="98">
        <f t="shared" si="28"/>
        <v>0</v>
      </c>
      <c r="W33" s="99"/>
      <c r="X33" s="94"/>
      <c r="Y33" s="96"/>
      <c r="Z33" s="39"/>
      <c r="AA33" s="94"/>
      <c r="AB33" s="94"/>
      <c r="AC33" s="39">
        <v>0</v>
      </c>
      <c r="AD33" s="102">
        <v>10</v>
      </c>
      <c r="AE33" s="70" t="s">
        <v>215</v>
      </c>
      <c r="AF33" s="96">
        <v>2</v>
      </c>
      <c r="AG33" s="98" t="str">
        <f t="shared" si="32"/>
        <v>کارمزد بانکی</v>
      </c>
      <c r="AH33" s="104">
        <f>AD33/AD32</f>
        <v>0.13333333333333333</v>
      </c>
      <c r="AI33" s="97"/>
      <c r="AJ33" s="97"/>
      <c r="AK33" s="100">
        <f t="shared" si="29"/>
        <v>0</v>
      </c>
      <c r="AL33" s="39"/>
      <c r="AM33" s="98">
        <f t="shared" si="30"/>
        <v>0</v>
      </c>
      <c r="AN33" s="98">
        <f t="shared" si="31"/>
        <v>0</v>
      </c>
      <c r="AO33" s="94"/>
      <c r="AP33" s="94"/>
      <c r="AQ33" s="39">
        <f>AD33*100/87</f>
        <v>11.494252873563218</v>
      </c>
      <c r="AR33" s="94"/>
      <c r="AS33" s="94"/>
    </row>
    <row r="34" spans="1:45">
      <c r="A34" s="94" t="s">
        <v>73</v>
      </c>
      <c r="B34" s="94"/>
      <c r="C34" s="94"/>
      <c r="D34" s="94"/>
      <c r="E34" s="94"/>
      <c r="F34" s="95" t="s">
        <v>148</v>
      </c>
      <c r="G34" s="94" t="s">
        <v>0</v>
      </c>
      <c r="H34" s="95" t="s">
        <v>37</v>
      </c>
      <c r="I34" s="94" t="s">
        <v>91</v>
      </c>
      <c r="J34" s="128"/>
      <c r="K34" s="94"/>
      <c r="L34" s="39"/>
      <c r="M34" s="39"/>
      <c r="N34" s="96">
        <v>80000000000</v>
      </c>
      <c r="O34" s="96" t="s">
        <v>37</v>
      </c>
      <c r="P34" s="39">
        <f>N34/AD34</f>
        <v>1000000000</v>
      </c>
      <c r="Q34" s="96" t="s">
        <v>38</v>
      </c>
      <c r="R34" s="96"/>
      <c r="S34" s="39"/>
      <c r="T34" s="97"/>
      <c r="U34" s="98">
        <f t="shared" si="27"/>
        <v>0</v>
      </c>
      <c r="V34" s="98">
        <f t="shared" si="28"/>
        <v>0</v>
      </c>
      <c r="W34" s="99"/>
      <c r="X34" s="94"/>
      <c r="Y34" s="39"/>
      <c r="Z34" s="39"/>
      <c r="AA34" s="94"/>
      <c r="AB34" s="94"/>
      <c r="AC34" s="39">
        <v>0</v>
      </c>
      <c r="AD34" s="96">
        <v>80</v>
      </c>
      <c r="AE34" s="70" t="s">
        <v>204</v>
      </c>
      <c r="AF34" s="96">
        <v>4</v>
      </c>
      <c r="AG34" s="98" t="str">
        <f t="shared" ref="AG34:AG37" si="33">IF(ISNUMBER(SEARCH("عودت قرض", AE34)),"عودت قرض",IF(ISNUMBER(SEARCH("قرض", AE34)),"قرض",IF(ISNUMBER(SEARCH("کارمزد بانکی", AE34)),"کارمزد بانکی",IF(ISNUMBER(SEARCH("سهم پروژه", AE34)),"سهم پروژه",IF(ISNUMBER(SEARCH("سهم بالاسری", AE34)),"ستاد",IF(ISNUMBER(SEARCH("پرداخت", AE34)),"پرداخت","-"))))))</f>
        <v>قرض</v>
      </c>
      <c r="AH34" s="104"/>
      <c r="AI34" s="97"/>
      <c r="AJ34" s="97"/>
      <c r="AK34" s="100">
        <f t="shared" si="29"/>
        <v>0</v>
      </c>
      <c r="AL34" s="39"/>
      <c r="AM34" s="98">
        <f t="shared" si="30"/>
        <v>0</v>
      </c>
      <c r="AN34" s="98">
        <f t="shared" si="31"/>
        <v>0</v>
      </c>
      <c r="AO34" s="94" t="s">
        <v>6</v>
      </c>
      <c r="AP34" s="95" t="s">
        <v>148</v>
      </c>
      <c r="AQ34" s="95"/>
      <c r="AR34" s="94"/>
      <c r="AS34" s="94"/>
    </row>
    <row r="35" spans="1:45">
      <c r="A35" s="94" t="s">
        <v>73</v>
      </c>
      <c r="B35" s="94"/>
      <c r="C35" s="94"/>
      <c r="D35" s="94"/>
      <c r="E35" s="94"/>
      <c r="F35" s="95" t="s">
        <v>148</v>
      </c>
      <c r="G35" s="94" t="s">
        <v>6</v>
      </c>
      <c r="H35" s="95" t="s">
        <v>37</v>
      </c>
      <c r="I35" s="94" t="s">
        <v>91</v>
      </c>
      <c r="J35" s="128"/>
      <c r="K35" s="94"/>
      <c r="L35" s="39"/>
      <c r="M35" s="39"/>
      <c r="N35" s="96">
        <v>80000000000</v>
      </c>
      <c r="O35" s="96" t="s">
        <v>37</v>
      </c>
      <c r="P35" s="39">
        <f>N35/AC35</f>
        <v>1000000000</v>
      </c>
      <c r="Q35" s="96" t="s">
        <v>38</v>
      </c>
      <c r="R35" s="96"/>
      <c r="S35" s="39"/>
      <c r="T35" s="97"/>
      <c r="U35" s="98">
        <f t="shared" si="27"/>
        <v>0</v>
      </c>
      <c r="V35" s="98">
        <f t="shared" si="28"/>
        <v>0</v>
      </c>
      <c r="W35" s="99"/>
      <c r="X35" s="94"/>
      <c r="Y35" s="39"/>
      <c r="Z35" s="39"/>
      <c r="AA35" s="94"/>
      <c r="AB35" s="94"/>
      <c r="AC35" s="96">
        <v>80</v>
      </c>
      <c r="AD35" s="39">
        <v>0</v>
      </c>
      <c r="AE35" s="70" t="s">
        <v>204</v>
      </c>
      <c r="AF35" s="96">
        <v>4</v>
      </c>
      <c r="AG35" s="98" t="str">
        <f t="shared" si="33"/>
        <v>قرض</v>
      </c>
      <c r="AH35" s="104"/>
      <c r="AI35" s="97"/>
      <c r="AJ35" s="97"/>
      <c r="AK35" s="100">
        <f t="shared" si="29"/>
        <v>0</v>
      </c>
      <c r="AL35" s="39"/>
      <c r="AM35" s="98">
        <f t="shared" si="30"/>
        <v>0</v>
      </c>
      <c r="AN35" s="98">
        <f t="shared" si="31"/>
        <v>0</v>
      </c>
      <c r="AO35" s="94" t="s">
        <v>0</v>
      </c>
      <c r="AP35" s="95" t="s">
        <v>148</v>
      </c>
      <c r="AQ35" s="95"/>
      <c r="AR35" s="94"/>
      <c r="AS35" s="94"/>
    </row>
    <row r="36" spans="1:45">
      <c r="A36" s="94" t="s">
        <v>73</v>
      </c>
      <c r="B36" s="94"/>
      <c r="C36" s="94"/>
      <c r="D36" s="94"/>
      <c r="E36" s="94" t="s">
        <v>19</v>
      </c>
      <c r="F36" s="95" t="s">
        <v>156</v>
      </c>
      <c r="G36" s="94" t="s">
        <v>1</v>
      </c>
      <c r="H36" s="95" t="s">
        <v>37</v>
      </c>
      <c r="I36" s="94" t="s">
        <v>92</v>
      </c>
      <c r="J36" s="128">
        <v>45986</v>
      </c>
      <c r="K36" s="123" t="s">
        <v>92</v>
      </c>
      <c r="L36" s="39"/>
      <c r="M36" s="39"/>
      <c r="N36" s="96">
        <f>P36*AD36</f>
        <v>22450286.249999996</v>
      </c>
      <c r="O36" s="96" t="s">
        <v>37</v>
      </c>
      <c r="P36" s="39">
        <f>(307180+310010)*0.97/2</f>
        <v>299337.14999999997</v>
      </c>
      <c r="Q36" s="96" t="s">
        <v>38</v>
      </c>
      <c r="R36" s="96"/>
      <c r="S36" s="39"/>
      <c r="T36" s="97"/>
      <c r="U36" s="98">
        <f t="shared" si="27"/>
        <v>0</v>
      </c>
      <c r="V36" s="98">
        <f t="shared" si="28"/>
        <v>0</v>
      </c>
      <c r="W36" s="99">
        <v>19979</v>
      </c>
      <c r="X36" s="94" t="s">
        <v>34</v>
      </c>
      <c r="Y36" s="96">
        <v>31539630</v>
      </c>
      <c r="Z36" s="39" t="s">
        <v>15</v>
      </c>
      <c r="AA36" s="94" t="s">
        <v>190</v>
      </c>
      <c r="AB36" s="94">
        <v>8</v>
      </c>
      <c r="AC36" s="39">
        <v>0</v>
      </c>
      <c r="AD36" s="102">
        <v>75</v>
      </c>
      <c r="AE36" s="70" t="s">
        <v>209</v>
      </c>
      <c r="AF36" s="96">
        <v>2</v>
      </c>
      <c r="AG36" s="98" t="str">
        <f t="shared" si="33"/>
        <v>پرداخت</v>
      </c>
      <c r="AH36" s="104"/>
      <c r="AI36" s="97"/>
      <c r="AJ36" s="97"/>
      <c r="AK36" s="100">
        <f t="shared" si="29"/>
        <v>0</v>
      </c>
      <c r="AL36" s="39"/>
      <c r="AM36" s="98">
        <f t="shared" si="30"/>
        <v>0</v>
      </c>
      <c r="AN36" s="98">
        <f t="shared" si="31"/>
        <v>0</v>
      </c>
      <c r="AO36" s="94"/>
      <c r="AP36" s="94"/>
      <c r="AQ36" s="39">
        <f>AD36*100/87</f>
        <v>86.206896551724142</v>
      </c>
      <c r="AR36" s="94"/>
      <c r="AS36" s="94"/>
    </row>
    <row r="37" spans="1:45">
      <c r="A37" s="94" t="s">
        <v>73</v>
      </c>
      <c r="B37" s="94"/>
      <c r="C37" s="94"/>
      <c r="D37" s="94"/>
      <c r="E37" s="94" t="s">
        <v>19</v>
      </c>
      <c r="F37" s="95" t="s">
        <v>156</v>
      </c>
      <c r="G37" s="94" t="s">
        <v>1</v>
      </c>
      <c r="H37" s="95" t="s">
        <v>37</v>
      </c>
      <c r="I37" s="94" t="s">
        <v>92</v>
      </c>
      <c r="J37" s="128"/>
      <c r="K37" s="94"/>
      <c r="L37" s="39"/>
      <c r="M37" s="39"/>
      <c r="N37" s="96"/>
      <c r="O37" s="96" t="s">
        <v>37</v>
      </c>
      <c r="P37" s="96"/>
      <c r="Q37" s="96" t="s">
        <v>38</v>
      </c>
      <c r="R37" s="96"/>
      <c r="S37" s="39"/>
      <c r="T37" s="97"/>
      <c r="U37" s="98">
        <f t="shared" si="27"/>
        <v>0</v>
      </c>
      <c r="V37" s="98">
        <f t="shared" si="28"/>
        <v>0</v>
      </c>
      <c r="W37" s="99"/>
      <c r="X37" s="94"/>
      <c r="Y37" s="39"/>
      <c r="Z37" s="39"/>
      <c r="AA37" s="94"/>
      <c r="AB37" s="94"/>
      <c r="AC37" s="39">
        <v>0</v>
      </c>
      <c r="AD37" s="102">
        <v>10</v>
      </c>
      <c r="AE37" s="70" t="s">
        <v>215</v>
      </c>
      <c r="AF37" s="96">
        <v>2</v>
      </c>
      <c r="AG37" s="98" t="str">
        <f t="shared" si="33"/>
        <v>کارمزد بانکی</v>
      </c>
      <c r="AH37" s="104">
        <f>AD37/AD36</f>
        <v>0.13333333333333333</v>
      </c>
      <c r="AI37" s="97"/>
      <c r="AJ37" s="97"/>
      <c r="AK37" s="100">
        <f t="shared" si="29"/>
        <v>0</v>
      </c>
      <c r="AL37" s="39"/>
      <c r="AM37" s="98">
        <f t="shared" si="30"/>
        <v>0</v>
      </c>
      <c r="AN37" s="98">
        <f t="shared" si="31"/>
        <v>0</v>
      </c>
      <c r="AO37" s="94"/>
      <c r="AP37" s="94"/>
      <c r="AQ37" s="39">
        <f>AD37*100/87</f>
        <v>11.494252873563218</v>
      </c>
      <c r="AR37" s="94"/>
      <c r="AS37" s="94"/>
    </row>
    <row r="38" spans="1:45">
      <c r="A38" s="94" t="s">
        <v>73</v>
      </c>
      <c r="B38" s="94"/>
      <c r="C38" s="94"/>
      <c r="D38" s="94"/>
      <c r="E38" s="94"/>
      <c r="F38" s="95" t="s">
        <v>148</v>
      </c>
      <c r="G38" s="94" t="s">
        <v>14</v>
      </c>
      <c r="H38" s="95" t="s">
        <v>37</v>
      </c>
      <c r="I38" s="94" t="s">
        <v>104</v>
      </c>
      <c r="J38" s="128"/>
      <c r="K38" s="94"/>
      <c r="L38" s="39"/>
      <c r="M38" s="39"/>
      <c r="N38" s="96"/>
      <c r="O38" s="96" t="s">
        <v>37</v>
      </c>
      <c r="P38" s="96"/>
      <c r="Q38" s="96" t="s">
        <v>38</v>
      </c>
      <c r="R38" s="96"/>
      <c r="S38" s="39"/>
      <c r="T38" s="97"/>
      <c r="U38" s="98">
        <f t="shared" si="27"/>
        <v>0</v>
      </c>
      <c r="V38" s="98">
        <f t="shared" si="28"/>
        <v>0</v>
      </c>
      <c r="W38" s="99"/>
      <c r="X38" s="94"/>
      <c r="Y38" s="39"/>
      <c r="Z38" s="39"/>
      <c r="AA38" s="94"/>
      <c r="AB38" s="94"/>
      <c r="AC38" s="39">
        <v>0</v>
      </c>
      <c r="AD38" s="39">
        <v>14</v>
      </c>
      <c r="AE38" s="70" t="s">
        <v>151</v>
      </c>
      <c r="AF38" s="96">
        <v>4</v>
      </c>
      <c r="AG38" s="98" t="str">
        <f t="shared" ref="AG38:AG45" si="34">IF(ISNUMBER(SEARCH("عودت قرض", AE38)),"عودت قرض",IF(ISNUMBER(SEARCH("قرض", AE38)),"قرض",IF(ISNUMBER(SEARCH("کارمزد بانکی", AE38)),"کارمزد بانکی",IF(ISNUMBER(SEARCH("سهم پروژه", AE38)),"سهم پروژه",IF(ISNUMBER(SEARCH("سهم بالاسری", AE38)),"ستاد",IF(ISNUMBER(SEARCH("پرداخت", AE38)),"پرداخت","-"))))))</f>
        <v>قرض</v>
      </c>
      <c r="AH38" s="104"/>
      <c r="AI38" s="97"/>
      <c r="AJ38" s="97"/>
      <c r="AK38" s="100">
        <f t="shared" si="29"/>
        <v>0</v>
      </c>
      <c r="AL38" s="39"/>
      <c r="AM38" s="98">
        <f t="shared" si="30"/>
        <v>0</v>
      </c>
      <c r="AN38" s="98">
        <f t="shared" si="31"/>
        <v>0</v>
      </c>
      <c r="AO38" s="94" t="s">
        <v>0</v>
      </c>
      <c r="AP38" s="95" t="s">
        <v>148</v>
      </c>
      <c r="AQ38" s="95"/>
      <c r="AR38" s="94"/>
      <c r="AS38" s="94"/>
    </row>
    <row r="39" spans="1:45">
      <c r="A39" s="94" t="s">
        <v>73</v>
      </c>
      <c r="B39" s="94"/>
      <c r="C39" s="94"/>
      <c r="D39" s="94"/>
      <c r="E39" s="94"/>
      <c r="F39" s="95" t="s">
        <v>148</v>
      </c>
      <c r="G39" s="94" t="s">
        <v>0</v>
      </c>
      <c r="H39" s="95" t="s">
        <v>37</v>
      </c>
      <c r="I39" s="94" t="s">
        <v>104</v>
      </c>
      <c r="J39" s="128"/>
      <c r="K39" s="94"/>
      <c r="L39" s="39"/>
      <c r="M39" s="39"/>
      <c r="N39" s="96"/>
      <c r="O39" s="96" t="s">
        <v>37</v>
      </c>
      <c r="P39" s="96"/>
      <c r="Q39" s="96" t="s">
        <v>38</v>
      </c>
      <c r="R39" s="96"/>
      <c r="S39" s="39"/>
      <c r="T39" s="97"/>
      <c r="U39" s="98">
        <f t="shared" si="27"/>
        <v>0</v>
      </c>
      <c r="V39" s="98">
        <f t="shared" si="28"/>
        <v>0</v>
      </c>
      <c r="W39" s="99"/>
      <c r="X39" s="94"/>
      <c r="Y39" s="39"/>
      <c r="Z39" s="39"/>
      <c r="AA39" s="94"/>
      <c r="AB39" s="94"/>
      <c r="AC39" s="39">
        <v>14</v>
      </c>
      <c r="AD39" s="39">
        <v>0</v>
      </c>
      <c r="AE39" s="70" t="s">
        <v>151</v>
      </c>
      <c r="AF39" s="96">
        <v>4</v>
      </c>
      <c r="AG39" s="98" t="str">
        <f t="shared" si="34"/>
        <v>قرض</v>
      </c>
      <c r="AH39" s="104"/>
      <c r="AI39" s="97"/>
      <c r="AJ39" s="97"/>
      <c r="AK39" s="100">
        <f t="shared" si="29"/>
        <v>0</v>
      </c>
      <c r="AL39" s="39"/>
      <c r="AM39" s="98">
        <f t="shared" si="30"/>
        <v>0</v>
      </c>
      <c r="AN39" s="98">
        <f t="shared" si="31"/>
        <v>0</v>
      </c>
      <c r="AO39" s="94" t="s">
        <v>14</v>
      </c>
      <c r="AP39" s="95" t="s">
        <v>148</v>
      </c>
      <c r="AQ39" s="95"/>
      <c r="AR39" s="94"/>
      <c r="AS39" s="94"/>
    </row>
    <row r="40" spans="1:45">
      <c r="A40" s="94" t="s">
        <v>73</v>
      </c>
      <c r="B40" s="94"/>
      <c r="C40" s="94"/>
      <c r="D40" s="94"/>
      <c r="E40" s="94" t="s">
        <v>103</v>
      </c>
      <c r="F40" s="95" t="s">
        <v>148</v>
      </c>
      <c r="G40" s="94" t="s">
        <v>9</v>
      </c>
      <c r="H40" s="95" t="s">
        <v>37</v>
      </c>
      <c r="I40" s="94" t="s">
        <v>25</v>
      </c>
      <c r="J40" s="128">
        <v>45992</v>
      </c>
      <c r="K40" s="123" t="s">
        <v>25</v>
      </c>
      <c r="L40" s="39"/>
      <c r="M40" s="39"/>
      <c r="N40" s="96">
        <f>P40*AD40</f>
        <v>4754775</v>
      </c>
      <c r="O40" s="96" t="s">
        <v>37</v>
      </c>
      <c r="P40" s="96">
        <v>316985</v>
      </c>
      <c r="Q40" s="96" t="s">
        <v>38</v>
      </c>
      <c r="R40" s="96"/>
      <c r="S40" s="49"/>
      <c r="T40" s="97"/>
      <c r="U40" s="98">
        <f t="shared" si="27"/>
        <v>0</v>
      </c>
      <c r="V40" s="98">
        <f t="shared" si="28"/>
        <v>0</v>
      </c>
      <c r="W40" s="99">
        <v>20056</v>
      </c>
      <c r="X40" s="94" t="s">
        <v>102</v>
      </c>
      <c r="Y40" s="96">
        <v>42645787</v>
      </c>
      <c r="Z40" s="39" t="s">
        <v>15</v>
      </c>
      <c r="AA40" s="149" t="s">
        <v>199</v>
      </c>
      <c r="AB40" s="94">
        <v>9</v>
      </c>
      <c r="AC40" s="39">
        <v>0</v>
      </c>
      <c r="AD40" s="102">
        <v>15</v>
      </c>
      <c r="AE40" s="70" t="s">
        <v>210</v>
      </c>
      <c r="AF40" s="96">
        <v>2</v>
      </c>
      <c r="AG40" s="98" t="str">
        <f t="shared" si="34"/>
        <v>پرداخت</v>
      </c>
      <c r="AH40" s="104"/>
      <c r="AI40" s="97"/>
      <c r="AJ40" s="97"/>
      <c r="AK40" s="100">
        <f t="shared" si="29"/>
        <v>0</v>
      </c>
      <c r="AL40" s="39"/>
      <c r="AM40" s="98">
        <f t="shared" si="30"/>
        <v>0</v>
      </c>
      <c r="AN40" s="98">
        <f t="shared" si="31"/>
        <v>0</v>
      </c>
      <c r="AO40" s="94"/>
      <c r="AP40" s="94"/>
      <c r="AQ40" s="94"/>
      <c r="AR40" s="94"/>
      <c r="AS40" s="94"/>
    </row>
    <row r="41" spans="1:45">
      <c r="A41" s="94" t="s">
        <v>73</v>
      </c>
      <c r="B41" s="94"/>
      <c r="C41" s="94"/>
      <c r="D41" s="94"/>
      <c r="E41" s="94" t="s">
        <v>103</v>
      </c>
      <c r="F41" s="95" t="s">
        <v>148</v>
      </c>
      <c r="G41" s="94" t="s">
        <v>9</v>
      </c>
      <c r="H41" s="95" t="s">
        <v>37</v>
      </c>
      <c r="I41" s="94" t="s">
        <v>25</v>
      </c>
      <c r="J41" s="128"/>
      <c r="K41" s="94"/>
      <c r="L41" s="39"/>
      <c r="M41" s="39"/>
      <c r="N41" s="96"/>
      <c r="O41" s="96" t="s">
        <v>37</v>
      </c>
      <c r="P41" s="96"/>
      <c r="Q41" s="96" t="s">
        <v>38</v>
      </c>
      <c r="R41" s="96"/>
      <c r="S41" s="49"/>
      <c r="T41" s="97"/>
      <c r="U41" s="98">
        <f t="shared" si="27"/>
        <v>0</v>
      </c>
      <c r="V41" s="98">
        <f t="shared" si="28"/>
        <v>0</v>
      </c>
      <c r="W41" s="99"/>
      <c r="X41" s="94"/>
      <c r="Y41" s="96"/>
      <c r="Z41" s="39"/>
      <c r="AA41" s="94"/>
      <c r="AB41" s="94"/>
      <c r="AC41" s="39">
        <v>0</v>
      </c>
      <c r="AD41" s="103">
        <v>2</v>
      </c>
      <c r="AE41" s="70" t="s">
        <v>152</v>
      </c>
      <c r="AF41" s="96">
        <v>2</v>
      </c>
      <c r="AG41" s="98" t="str">
        <f t="shared" si="34"/>
        <v>کارمزد بانکی</v>
      </c>
      <c r="AH41" s="104">
        <f>AD41/AD40</f>
        <v>0.13333333333333333</v>
      </c>
      <c r="AI41" s="97"/>
      <c r="AJ41" s="97"/>
      <c r="AK41" s="100">
        <f t="shared" si="29"/>
        <v>0</v>
      </c>
      <c r="AL41" s="39"/>
      <c r="AM41" s="98">
        <f t="shared" si="30"/>
        <v>0</v>
      </c>
      <c r="AN41" s="98">
        <f t="shared" si="31"/>
        <v>0</v>
      </c>
      <c r="AO41" s="94"/>
      <c r="AP41" s="94"/>
      <c r="AQ41" s="94"/>
      <c r="AR41" s="94"/>
      <c r="AS41" s="94"/>
    </row>
    <row r="42" spans="1:45">
      <c r="A42" s="94" t="s">
        <v>73</v>
      </c>
      <c r="B42" s="94"/>
      <c r="C42" s="94"/>
      <c r="D42" s="94"/>
      <c r="E42" s="94"/>
      <c r="F42" s="95" t="s">
        <v>148</v>
      </c>
      <c r="G42" s="94" t="s">
        <v>6</v>
      </c>
      <c r="H42" s="95" t="s">
        <v>37</v>
      </c>
      <c r="I42" s="94" t="s">
        <v>108</v>
      </c>
      <c r="J42" s="128"/>
      <c r="K42" s="94"/>
      <c r="L42" s="39"/>
      <c r="M42" s="39"/>
      <c r="N42" s="96"/>
      <c r="O42" s="96" t="s">
        <v>37</v>
      </c>
      <c r="P42" s="96">
        <v>294455</v>
      </c>
      <c r="Q42" s="96" t="s">
        <v>38</v>
      </c>
      <c r="R42" s="96"/>
      <c r="S42" s="39"/>
      <c r="T42" s="97"/>
      <c r="U42" s="98">
        <f t="shared" si="27"/>
        <v>0</v>
      </c>
      <c r="V42" s="98">
        <f t="shared" si="28"/>
        <v>0</v>
      </c>
      <c r="W42" s="99"/>
      <c r="X42" s="94"/>
      <c r="Y42" s="39"/>
      <c r="Z42" s="39"/>
      <c r="AA42" s="94"/>
      <c r="AB42" s="94"/>
      <c r="AC42" s="39">
        <v>0</v>
      </c>
      <c r="AD42" s="96">
        <v>14</v>
      </c>
      <c r="AE42" s="70" t="s">
        <v>205</v>
      </c>
      <c r="AF42" s="96">
        <v>4</v>
      </c>
      <c r="AG42" s="98" t="str">
        <f t="shared" si="34"/>
        <v>قرض</v>
      </c>
      <c r="AH42" s="104"/>
      <c r="AI42" s="97"/>
      <c r="AJ42" s="97"/>
      <c r="AK42" s="100">
        <f t="shared" si="29"/>
        <v>0</v>
      </c>
      <c r="AL42" s="39"/>
      <c r="AM42" s="98">
        <f t="shared" si="30"/>
        <v>0</v>
      </c>
      <c r="AN42" s="98">
        <f t="shared" si="31"/>
        <v>0</v>
      </c>
      <c r="AO42" s="94" t="s">
        <v>9</v>
      </c>
      <c r="AP42" s="95" t="s">
        <v>148</v>
      </c>
      <c r="AQ42" s="95"/>
      <c r="AR42" s="94"/>
      <c r="AS42" s="94"/>
    </row>
    <row r="43" spans="1:45">
      <c r="A43" s="94" t="s">
        <v>73</v>
      </c>
      <c r="B43" s="94"/>
      <c r="C43" s="94"/>
      <c r="D43" s="94"/>
      <c r="E43" s="94"/>
      <c r="F43" s="95" t="s">
        <v>148</v>
      </c>
      <c r="G43" s="94" t="s">
        <v>9</v>
      </c>
      <c r="H43" s="95" t="s">
        <v>37</v>
      </c>
      <c r="I43" s="94" t="s">
        <v>108</v>
      </c>
      <c r="J43" s="128"/>
      <c r="K43" s="94"/>
      <c r="L43" s="39"/>
      <c r="M43" s="39"/>
      <c r="N43" s="96"/>
      <c r="O43" s="96" t="s">
        <v>37</v>
      </c>
      <c r="P43" s="96">
        <v>294455</v>
      </c>
      <c r="Q43" s="96" t="s">
        <v>38</v>
      </c>
      <c r="R43" s="96"/>
      <c r="S43" s="39"/>
      <c r="T43" s="97"/>
      <c r="U43" s="98">
        <f t="shared" si="27"/>
        <v>0</v>
      </c>
      <c r="V43" s="98">
        <f t="shared" si="28"/>
        <v>0</v>
      </c>
      <c r="W43" s="99"/>
      <c r="X43" s="94"/>
      <c r="Y43" s="39"/>
      <c r="Z43" s="39"/>
      <c r="AA43" s="94"/>
      <c r="AB43" s="94"/>
      <c r="AC43" s="96">
        <v>14</v>
      </c>
      <c r="AD43" s="39">
        <v>0</v>
      </c>
      <c r="AE43" s="70" t="s">
        <v>205</v>
      </c>
      <c r="AF43" s="96">
        <v>4</v>
      </c>
      <c r="AG43" s="98" t="str">
        <f t="shared" si="34"/>
        <v>قرض</v>
      </c>
      <c r="AH43" s="104"/>
      <c r="AI43" s="97"/>
      <c r="AJ43" s="97"/>
      <c r="AK43" s="100">
        <f t="shared" si="29"/>
        <v>0</v>
      </c>
      <c r="AL43" s="39"/>
      <c r="AM43" s="98">
        <f t="shared" si="30"/>
        <v>0</v>
      </c>
      <c r="AN43" s="98">
        <f t="shared" si="31"/>
        <v>0</v>
      </c>
      <c r="AO43" s="94" t="s">
        <v>6</v>
      </c>
      <c r="AP43" s="95" t="s">
        <v>148</v>
      </c>
      <c r="AQ43" s="95"/>
      <c r="AR43" s="94"/>
      <c r="AS43" s="94"/>
    </row>
    <row r="44" spans="1:45">
      <c r="A44" s="94" t="s">
        <v>73</v>
      </c>
      <c r="B44" s="94"/>
      <c r="C44" s="94"/>
      <c r="D44" s="94"/>
      <c r="E44" s="94"/>
      <c r="F44" s="95" t="s">
        <v>148</v>
      </c>
      <c r="G44" s="94" t="s">
        <v>14</v>
      </c>
      <c r="H44" s="95" t="s">
        <v>37</v>
      </c>
      <c r="I44" s="94" t="s">
        <v>110</v>
      </c>
      <c r="J44" s="128"/>
      <c r="K44" s="94"/>
      <c r="L44" s="39"/>
      <c r="M44" s="39"/>
      <c r="N44" s="96"/>
      <c r="O44" s="96" t="s">
        <v>37</v>
      </c>
      <c r="P44" s="96"/>
      <c r="Q44" s="96" t="s">
        <v>38</v>
      </c>
      <c r="R44" s="96"/>
      <c r="S44" s="39"/>
      <c r="T44" s="97"/>
      <c r="U44" s="98">
        <f t="shared" ref="U44:U55" si="35">L44*T44</f>
        <v>0</v>
      </c>
      <c r="V44" s="98">
        <f t="shared" ref="V44:V55" si="36">L44-U44</f>
        <v>0</v>
      </c>
      <c r="W44" s="99"/>
      <c r="X44" s="94"/>
      <c r="Y44" s="39"/>
      <c r="Z44" s="39"/>
      <c r="AA44" s="94"/>
      <c r="AB44" s="94"/>
      <c r="AC44" s="39">
        <v>0</v>
      </c>
      <c r="AD44" s="39">
        <v>16</v>
      </c>
      <c r="AE44" s="70" t="s">
        <v>153</v>
      </c>
      <c r="AF44" s="96">
        <v>4</v>
      </c>
      <c r="AG44" s="98" t="str">
        <f t="shared" si="34"/>
        <v>قرض</v>
      </c>
      <c r="AH44" s="104"/>
      <c r="AI44" s="97"/>
      <c r="AJ44" s="97"/>
      <c r="AK44" s="100">
        <f t="shared" ref="AK44:AK55" si="37">IF(AJ44&gt;0,(AI44-AJ44)/AI44,0)</f>
        <v>0</v>
      </c>
      <c r="AL44" s="39"/>
      <c r="AM44" s="98">
        <f t="shared" ref="AM44:AM55" si="38">IF(AL44&gt;0,AL44*AK44,0)</f>
        <v>0</v>
      </c>
      <c r="AN44" s="98">
        <f t="shared" ref="AN44:AN55" si="39">AL44-AM44</f>
        <v>0</v>
      </c>
      <c r="AO44" s="94" t="s">
        <v>9</v>
      </c>
      <c r="AP44" s="95" t="s">
        <v>148</v>
      </c>
      <c r="AQ44" s="95"/>
      <c r="AR44" s="94"/>
      <c r="AS44" s="94"/>
    </row>
    <row r="45" spans="1:45">
      <c r="A45" s="94" t="s">
        <v>73</v>
      </c>
      <c r="B45" s="94"/>
      <c r="C45" s="94"/>
      <c r="D45" s="94"/>
      <c r="E45" s="94"/>
      <c r="F45" s="95" t="s">
        <v>148</v>
      </c>
      <c r="G45" s="94" t="s">
        <v>9</v>
      </c>
      <c r="H45" s="95" t="s">
        <v>37</v>
      </c>
      <c r="I45" s="94" t="s">
        <v>110</v>
      </c>
      <c r="J45" s="128"/>
      <c r="K45" s="94"/>
      <c r="L45" s="39"/>
      <c r="M45" s="39"/>
      <c r="N45" s="96"/>
      <c r="O45" s="96" t="s">
        <v>37</v>
      </c>
      <c r="P45" s="96"/>
      <c r="Q45" s="96" t="s">
        <v>38</v>
      </c>
      <c r="R45" s="96"/>
      <c r="S45" s="39"/>
      <c r="T45" s="97"/>
      <c r="U45" s="98">
        <f t="shared" si="35"/>
        <v>0</v>
      </c>
      <c r="V45" s="98">
        <f t="shared" si="36"/>
        <v>0</v>
      </c>
      <c r="W45" s="99"/>
      <c r="X45" s="94"/>
      <c r="Y45" s="39"/>
      <c r="Z45" s="39"/>
      <c r="AA45" s="94"/>
      <c r="AB45" s="94"/>
      <c r="AC45" s="39">
        <v>16</v>
      </c>
      <c r="AD45" s="39">
        <v>0</v>
      </c>
      <c r="AE45" s="70" t="s">
        <v>153</v>
      </c>
      <c r="AF45" s="96">
        <v>4</v>
      </c>
      <c r="AG45" s="98" t="str">
        <f t="shared" si="34"/>
        <v>قرض</v>
      </c>
      <c r="AH45" s="104"/>
      <c r="AI45" s="97"/>
      <c r="AJ45" s="97"/>
      <c r="AK45" s="100">
        <f t="shared" si="37"/>
        <v>0</v>
      </c>
      <c r="AL45" s="39"/>
      <c r="AM45" s="98">
        <f t="shared" si="38"/>
        <v>0</v>
      </c>
      <c r="AN45" s="98">
        <f t="shared" si="39"/>
        <v>0</v>
      </c>
      <c r="AO45" s="94" t="s">
        <v>14</v>
      </c>
      <c r="AP45" s="95" t="s">
        <v>148</v>
      </c>
      <c r="AQ45" s="95"/>
      <c r="AR45" s="94"/>
      <c r="AS45" s="94"/>
    </row>
    <row r="46" spans="1:45">
      <c r="A46" s="94" t="s">
        <v>73</v>
      </c>
      <c r="B46" s="94"/>
      <c r="C46" s="94"/>
      <c r="D46" s="94"/>
      <c r="E46" s="94" t="s">
        <v>105</v>
      </c>
      <c r="F46" s="95" t="s">
        <v>148</v>
      </c>
      <c r="G46" s="94" t="s">
        <v>9</v>
      </c>
      <c r="H46" s="95" t="s">
        <v>37</v>
      </c>
      <c r="I46" s="94" t="s">
        <v>110</v>
      </c>
      <c r="J46" s="128"/>
      <c r="K46" s="94"/>
      <c r="L46" s="39"/>
      <c r="M46" s="39"/>
      <c r="N46" s="108">
        <f>P46*AC46</f>
        <v>4817850</v>
      </c>
      <c r="O46" s="96" t="s">
        <v>37</v>
      </c>
      <c r="P46" s="96">
        <v>321190</v>
      </c>
      <c r="Q46" s="96" t="s">
        <v>38</v>
      </c>
      <c r="R46" s="107">
        <v>852022.5</v>
      </c>
      <c r="S46" s="39"/>
      <c r="T46" s="97"/>
      <c r="U46" s="98">
        <f t="shared" si="35"/>
        <v>0</v>
      </c>
      <c r="V46" s="98">
        <f t="shared" si="36"/>
        <v>0</v>
      </c>
      <c r="W46" s="99">
        <v>20057</v>
      </c>
      <c r="X46" s="94" t="s">
        <v>102</v>
      </c>
      <c r="Y46" s="96">
        <v>18</v>
      </c>
      <c r="Z46" s="101" t="s">
        <v>38</v>
      </c>
      <c r="AA46" s="149" t="s">
        <v>199</v>
      </c>
      <c r="AB46" s="94">
        <v>10</v>
      </c>
      <c r="AC46" s="102">
        <v>15</v>
      </c>
      <c r="AD46" s="39">
        <v>0</v>
      </c>
      <c r="AE46" s="70" t="s">
        <v>206</v>
      </c>
      <c r="AF46" s="96">
        <v>1</v>
      </c>
      <c r="AG46" s="98" t="s">
        <v>53</v>
      </c>
      <c r="AH46" s="104"/>
      <c r="AI46" s="97"/>
      <c r="AJ46" s="97"/>
      <c r="AK46" s="100">
        <f t="shared" si="37"/>
        <v>0</v>
      </c>
      <c r="AL46" s="39"/>
      <c r="AM46" s="98">
        <f t="shared" si="38"/>
        <v>0</v>
      </c>
      <c r="AN46" s="98">
        <f t="shared" si="39"/>
        <v>0</v>
      </c>
      <c r="AO46" s="94"/>
      <c r="AP46" s="94"/>
      <c r="AQ46" s="94"/>
      <c r="AR46" s="94"/>
      <c r="AS46" s="94"/>
    </row>
    <row r="47" spans="1:45">
      <c r="A47" s="94" t="s">
        <v>73</v>
      </c>
      <c r="B47" s="94"/>
      <c r="C47" s="94"/>
      <c r="D47" s="94"/>
      <c r="E47" s="94" t="s">
        <v>105</v>
      </c>
      <c r="F47" s="95" t="s">
        <v>148</v>
      </c>
      <c r="G47" s="94" t="s">
        <v>9</v>
      </c>
      <c r="H47" s="95" t="s">
        <v>37</v>
      </c>
      <c r="I47" s="94" t="s">
        <v>110</v>
      </c>
      <c r="J47" s="128"/>
      <c r="K47" s="94"/>
      <c r="L47" s="39"/>
      <c r="M47" s="39"/>
      <c r="N47" s="96"/>
      <c r="O47" s="96" t="s">
        <v>37</v>
      </c>
      <c r="P47" s="96"/>
      <c r="Q47" s="96" t="s">
        <v>38</v>
      </c>
      <c r="R47" s="107"/>
      <c r="S47" s="39"/>
      <c r="T47" s="97"/>
      <c r="U47" s="98">
        <f t="shared" si="35"/>
        <v>0</v>
      </c>
      <c r="V47" s="98">
        <f t="shared" si="36"/>
        <v>0</v>
      </c>
      <c r="W47" s="99"/>
      <c r="X47" s="94"/>
      <c r="Y47" s="96"/>
      <c r="Z47" s="101"/>
      <c r="AA47" s="94"/>
      <c r="AB47" s="94"/>
      <c r="AC47" s="103">
        <v>2</v>
      </c>
      <c r="AD47" s="39">
        <v>0</v>
      </c>
      <c r="AE47" s="70" t="s">
        <v>154</v>
      </c>
      <c r="AF47" s="96">
        <v>1</v>
      </c>
      <c r="AG47" s="98" t="s">
        <v>53</v>
      </c>
      <c r="AH47" s="104">
        <f>AC47/AC46</f>
        <v>0.13333333333333333</v>
      </c>
      <c r="AI47" s="97"/>
      <c r="AJ47" s="97"/>
      <c r="AK47" s="100">
        <f t="shared" si="37"/>
        <v>0</v>
      </c>
      <c r="AL47" s="39"/>
      <c r="AM47" s="98">
        <f t="shared" si="38"/>
        <v>0</v>
      </c>
      <c r="AN47" s="98">
        <f t="shared" si="39"/>
        <v>0</v>
      </c>
      <c r="AO47" s="94"/>
      <c r="AP47" s="94"/>
      <c r="AQ47" s="94"/>
      <c r="AR47" s="94"/>
      <c r="AS47" s="94"/>
    </row>
    <row r="48" spans="1:45" ht="31.5">
      <c r="A48" s="94" t="s">
        <v>73</v>
      </c>
      <c r="B48" s="94"/>
      <c r="C48" s="94"/>
      <c r="D48" s="94"/>
      <c r="E48" s="94"/>
      <c r="F48" s="95" t="s">
        <v>148</v>
      </c>
      <c r="G48" s="94" t="s">
        <v>0</v>
      </c>
      <c r="H48" s="95" t="s">
        <v>37</v>
      </c>
      <c r="I48" s="94" t="s">
        <v>39</v>
      </c>
      <c r="J48" s="128"/>
      <c r="K48" s="94"/>
      <c r="L48" s="39"/>
      <c r="M48" s="39"/>
      <c r="N48" s="96"/>
      <c r="O48" s="96" t="s">
        <v>37</v>
      </c>
      <c r="P48" s="96"/>
      <c r="Q48" s="96" t="s">
        <v>38</v>
      </c>
      <c r="R48" s="96"/>
      <c r="S48" s="39"/>
      <c r="T48" s="97"/>
      <c r="U48" s="98">
        <f t="shared" si="35"/>
        <v>0</v>
      </c>
      <c r="V48" s="98">
        <f t="shared" si="36"/>
        <v>0</v>
      </c>
      <c r="W48" s="99"/>
      <c r="X48" s="94"/>
      <c r="Y48" s="39"/>
      <c r="Z48" s="39"/>
      <c r="AA48" s="94"/>
      <c r="AB48" s="94"/>
      <c r="AC48" s="39">
        <v>0</v>
      </c>
      <c r="AD48" s="39">
        <v>68</v>
      </c>
      <c r="AE48" s="70" t="s">
        <v>207</v>
      </c>
      <c r="AF48" s="96">
        <v>5</v>
      </c>
      <c r="AG48" s="98" t="str">
        <f>IF(ISNUMBER(SEARCH("عودت قرض", AE48)),"عودت قرض",IF(ISNUMBER(SEARCH("قرض", AE48)),"قرض",IF(ISNUMBER(SEARCH("کارمزد بانکی", AE48)),"کارمزد بانکی",IF(ISNUMBER(SEARCH("سهم پروژه", AE48)),"سهم پروژه",IF(ISNUMBER(SEARCH("سهم بالاسری", AE48)),"ستاد",IF(ISNUMBER(SEARCH("پرداخت", AE48)),"پرداخت","-"))))))</f>
        <v>عودت قرض</v>
      </c>
      <c r="AH48" s="104"/>
      <c r="AI48" s="97"/>
      <c r="AJ48" s="97"/>
      <c r="AK48" s="100">
        <f t="shared" si="37"/>
        <v>0</v>
      </c>
      <c r="AL48" s="39"/>
      <c r="AM48" s="98">
        <f t="shared" si="38"/>
        <v>0</v>
      </c>
      <c r="AN48" s="98">
        <f t="shared" si="39"/>
        <v>0</v>
      </c>
      <c r="AO48" s="94" t="s">
        <v>9</v>
      </c>
      <c r="AP48" s="95" t="s">
        <v>148</v>
      </c>
      <c r="AQ48" s="95"/>
      <c r="AR48" s="94"/>
      <c r="AS48" s="94"/>
    </row>
    <row r="49" spans="1:45" ht="31.5">
      <c r="A49" s="94" t="s">
        <v>73</v>
      </c>
      <c r="B49" s="94"/>
      <c r="C49" s="94"/>
      <c r="D49" s="94"/>
      <c r="E49" s="94"/>
      <c r="F49" s="95" t="s">
        <v>148</v>
      </c>
      <c r="G49" s="94" t="s">
        <v>9</v>
      </c>
      <c r="H49" s="95" t="s">
        <v>37</v>
      </c>
      <c r="I49" s="94" t="s">
        <v>39</v>
      </c>
      <c r="J49" s="128"/>
      <c r="K49" s="94"/>
      <c r="L49" s="39"/>
      <c r="M49" s="39"/>
      <c r="N49" s="96"/>
      <c r="O49" s="96" t="s">
        <v>37</v>
      </c>
      <c r="P49" s="96"/>
      <c r="Q49" s="96" t="s">
        <v>38</v>
      </c>
      <c r="R49" s="96"/>
      <c r="S49" s="39"/>
      <c r="T49" s="97"/>
      <c r="U49" s="98">
        <f t="shared" si="35"/>
        <v>0</v>
      </c>
      <c r="V49" s="98">
        <f t="shared" si="36"/>
        <v>0</v>
      </c>
      <c r="W49" s="99"/>
      <c r="X49" s="94"/>
      <c r="Y49" s="39"/>
      <c r="Z49" s="39"/>
      <c r="AA49" s="94"/>
      <c r="AB49" s="94"/>
      <c r="AC49" s="39">
        <v>68</v>
      </c>
      <c r="AD49" s="39">
        <v>0</v>
      </c>
      <c r="AE49" s="70" t="s">
        <v>207</v>
      </c>
      <c r="AF49" s="96">
        <v>5</v>
      </c>
      <c r="AG49" s="98" t="str">
        <f>IF(ISNUMBER(SEARCH("عودت قرض", AE49)),"عودت قرض",IF(ISNUMBER(SEARCH("قرض", AE49)),"قرض",IF(ISNUMBER(SEARCH("کارمزد بانکی", AE49)),"کارمزد بانکی",IF(ISNUMBER(SEARCH("سهم پروژه", AE49)),"سهم پروژه",IF(ISNUMBER(SEARCH("سهم بالاسری", AE49)),"ستاد",IF(ISNUMBER(SEARCH("پرداخت", AE49)),"پرداخت","-"))))))</f>
        <v>عودت قرض</v>
      </c>
      <c r="AH49" s="104"/>
      <c r="AI49" s="97"/>
      <c r="AJ49" s="97"/>
      <c r="AK49" s="100">
        <f t="shared" si="37"/>
        <v>0</v>
      </c>
      <c r="AL49" s="39"/>
      <c r="AM49" s="98">
        <f t="shared" si="38"/>
        <v>0</v>
      </c>
      <c r="AN49" s="98">
        <f t="shared" si="39"/>
        <v>0</v>
      </c>
      <c r="AO49" s="94" t="s">
        <v>0</v>
      </c>
      <c r="AP49" s="95" t="s">
        <v>148</v>
      </c>
      <c r="AQ49" s="95"/>
      <c r="AR49" s="94"/>
      <c r="AS49" s="94"/>
    </row>
    <row r="50" spans="1:45">
      <c r="A50" s="94" t="s">
        <v>73</v>
      </c>
      <c r="B50" s="94"/>
      <c r="C50" s="94"/>
      <c r="D50" s="94"/>
      <c r="E50" s="94" t="s">
        <v>109</v>
      </c>
      <c r="F50" s="95" t="s">
        <v>148</v>
      </c>
      <c r="G50" s="94" t="s">
        <v>9</v>
      </c>
      <c r="H50" s="95" t="s">
        <v>37</v>
      </c>
      <c r="I50" s="94" t="s">
        <v>121</v>
      </c>
      <c r="J50" s="128">
        <v>46000</v>
      </c>
      <c r="K50" s="124" t="s">
        <v>122</v>
      </c>
      <c r="L50" s="39"/>
      <c r="M50" s="39"/>
      <c r="N50" s="96">
        <f>P50*AD50</f>
        <v>10404352</v>
      </c>
      <c r="O50" s="96" t="s">
        <v>37</v>
      </c>
      <c r="P50" s="96">
        <v>325136</v>
      </c>
      <c r="Q50" s="96" t="s">
        <v>38</v>
      </c>
      <c r="R50" s="96"/>
      <c r="S50" s="39" t="s">
        <v>89</v>
      </c>
      <c r="T50" s="97"/>
      <c r="U50" s="98">
        <f t="shared" si="35"/>
        <v>0</v>
      </c>
      <c r="V50" s="98">
        <f t="shared" si="36"/>
        <v>0</v>
      </c>
      <c r="W50" s="99">
        <v>20075</v>
      </c>
      <c r="X50" s="94" t="s">
        <v>108</v>
      </c>
      <c r="Y50" s="96">
        <v>69831480</v>
      </c>
      <c r="Z50" s="39" t="s">
        <v>15</v>
      </c>
      <c r="AA50" s="149" t="s">
        <v>189</v>
      </c>
      <c r="AB50" s="94">
        <v>6</v>
      </c>
      <c r="AC50" s="39">
        <v>0</v>
      </c>
      <c r="AD50" s="102">
        <v>32</v>
      </c>
      <c r="AE50" s="70" t="s">
        <v>196</v>
      </c>
      <c r="AF50" s="96">
        <v>2</v>
      </c>
      <c r="AG50" s="98" t="str">
        <f t="shared" ref="AG50:AG51" si="40">IF(ISNUMBER(SEARCH("عودت قرض", AE50)),"عودت قرض",IF(ISNUMBER(SEARCH("قرض", AE50)),"قرض",IF(ISNUMBER(SEARCH("کارمزد بانکی", AE50)),"کارمزد بانکی",IF(ISNUMBER(SEARCH("سهم پروژه", AE50)),"سهم پروژه",IF(ISNUMBER(SEARCH("سهم بالاسری", AE50)),"ستاد",IF(ISNUMBER(SEARCH("پرداخت", AE50)),"پرداخت","-"))))))</f>
        <v>پرداخت</v>
      </c>
      <c r="AH50" s="104"/>
      <c r="AI50" s="97"/>
      <c r="AJ50" s="97"/>
      <c r="AK50" s="100">
        <f t="shared" si="37"/>
        <v>0</v>
      </c>
      <c r="AL50" s="39"/>
      <c r="AM50" s="98">
        <f t="shared" si="38"/>
        <v>0</v>
      </c>
      <c r="AN50" s="98">
        <f t="shared" si="39"/>
        <v>0</v>
      </c>
      <c r="AO50" s="94"/>
      <c r="AP50" s="94"/>
      <c r="AQ50" s="94"/>
      <c r="AR50" s="94"/>
      <c r="AS50" s="94"/>
    </row>
    <row r="51" spans="1:45">
      <c r="A51" s="94" t="s">
        <v>73</v>
      </c>
      <c r="B51" s="94"/>
      <c r="C51" s="94"/>
      <c r="D51" s="94"/>
      <c r="E51" s="94" t="s">
        <v>109</v>
      </c>
      <c r="F51" s="95" t="s">
        <v>148</v>
      </c>
      <c r="G51" s="94" t="s">
        <v>9</v>
      </c>
      <c r="H51" s="95" t="s">
        <v>37</v>
      </c>
      <c r="I51" s="94" t="s">
        <v>121</v>
      </c>
      <c r="J51" s="128"/>
      <c r="K51" s="94"/>
      <c r="L51" s="39"/>
      <c r="M51" s="39"/>
      <c r="N51" s="96"/>
      <c r="O51" s="96" t="s">
        <v>37</v>
      </c>
      <c r="P51" s="96"/>
      <c r="Q51" s="96" t="s">
        <v>38</v>
      </c>
      <c r="R51" s="96"/>
      <c r="S51" s="39"/>
      <c r="T51" s="97"/>
      <c r="U51" s="98">
        <f t="shared" si="35"/>
        <v>0</v>
      </c>
      <c r="V51" s="98">
        <f t="shared" si="36"/>
        <v>0</v>
      </c>
      <c r="W51" s="99"/>
      <c r="X51" s="94"/>
      <c r="Y51" s="39"/>
      <c r="Z51" s="39"/>
      <c r="AA51" s="94"/>
      <c r="AB51" s="94"/>
      <c r="AC51" s="39">
        <v>0</v>
      </c>
      <c r="AD51" s="103">
        <v>25</v>
      </c>
      <c r="AE51" s="70" t="s">
        <v>152</v>
      </c>
      <c r="AF51" s="96">
        <v>2</v>
      </c>
      <c r="AG51" s="98" t="str">
        <f t="shared" si="40"/>
        <v>کارمزد بانکی</v>
      </c>
      <c r="AH51" s="104">
        <f>AD51/AD50</f>
        <v>0.78125</v>
      </c>
      <c r="AI51" s="97"/>
      <c r="AJ51" s="97"/>
      <c r="AK51" s="100">
        <f t="shared" si="37"/>
        <v>0</v>
      </c>
      <c r="AL51" s="39"/>
      <c r="AM51" s="98">
        <f t="shared" si="38"/>
        <v>0</v>
      </c>
      <c r="AN51" s="98">
        <f t="shared" si="39"/>
        <v>0</v>
      </c>
      <c r="AO51" s="94"/>
      <c r="AP51" s="94"/>
      <c r="AQ51" s="94"/>
      <c r="AR51" s="94"/>
      <c r="AS51" s="94"/>
    </row>
    <row r="52" spans="1:45">
      <c r="A52" s="94" t="s">
        <v>73</v>
      </c>
      <c r="B52" s="94"/>
      <c r="C52" s="94"/>
      <c r="D52" s="94"/>
      <c r="E52" s="69" t="s">
        <v>125</v>
      </c>
      <c r="F52" s="95" t="s">
        <v>156</v>
      </c>
      <c r="G52" s="94" t="s">
        <v>0</v>
      </c>
      <c r="H52" s="95" t="s">
        <v>37</v>
      </c>
      <c r="I52" s="94" t="s">
        <v>128</v>
      </c>
      <c r="J52" s="128"/>
      <c r="K52" s="94"/>
      <c r="L52" s="39"/>
      <c r="M52" s="39"/>
      <c r="N52" s="96"/>
      <c r="O52" s="96" t="s">
        <v>37</v>
      </c>
      <c r="P52" s="96"/>
      <c r="Q52" s="96" t="s">
        <v>38</v>
      </c>
      <c r="R52" s="96"/>
      <c r="S52" s="81"/>
      <c r="T52" s="97"/>
      <c r="U52" s="98">
        <f t="shared" si="35"/>
        <v>0</v>
      </c>
      <c r="V52" s="98">
        <f t="shared" si="36"/>
        <v>0</v>
      </c>
      <c r="W52" s="99"/>
      <c r="X52" s="94"/>
      <c r="Y52" s="96"/>
      <c r="Z52" s="39"/>
      <c r="AA52" s="94"/>
      <c r="AB52" s="69"/>
      <c r="AC52" s="103">
        <v>7</v>
      </c>
      <c r="AD52" s="96">
        <v>0</v>
      </c>
      <c r="AE52" s="70" t="s">
        <v>216</v>
      </c>
      <c r="AF52" s="96">
        <v>1</v>
      </c>
      <c r="AG52" s="98" t="s">
        <v>53</v>
      </c>
      <c r="AH52" s="104">
        <f>AC52/AC53</f>
        <v>0.125</v>
      </c>
      <c r="AI52" s="97"/>
      <c r="AJ52" s="97"/>
      <c r="AK52" s="100">
        <f t="shared" si="37"/>
        <v>0</v>
      </c>
      <c r="AL52" s="39"/>
      <c r="AM52" s="98">
        <f t="shared" si="38"/>
        <v>0</v>
      </c>
      <c r="AN52" s="98">
        <f t="shared" si="39"/>
        <v>0</v>
      </c>
      <c r="AO52" s="94"/>
      <c r="AP52" s="94"/>
      <c r="AQ52" s="94"/>
      <c r="AR52" s="94"/>
      <c r="AS52" s="94"/>
    </row>
    <row r="53" spans="1:45">
      <c r="A53" s="94" t="s">
        <v>73</v>
      </c>
      <c r="B53" s="94"/>
      <c r="C53" s="94"/>
      <c r="D53" s="94"/>
      <c r="E53" s="69" t="s">
        <v>125</v>
      </c>
      <c r="F53" s="95" t="s">
        <v>156</v>
      </c>
      <c r="G53" s="94" t="s">
        <v>0</v>
      </c>
      <c r="H53" s="95" t="s">
        <v>37</v>
      </c>
      <c r="I53" s="94" t="s">
        <v>128</v>
      </c>
      <c r="J53" s="128"/>
      <c r="K53" s="94"/>
      <c r="L53" s="39"/>
      <c r="M53" s="39"/>
      <c r="N53" s="108">
        <f>P53*AC53</f>
        <v>19392783.199999999</v>
      </c>
      <c r="O53" s="96" t="s">
        <v>37</v>
      </c>
      <c r="P53" s="107">
        <v>346299.7</v>
      </c>
      <c r="Q53" s="96" t="s">
        <v>38</v>
      </c>
      <c r="R53" s="96"/>
      <c r="S53" s="39" t="s">
        <v>89</v>
      </c>
      <c r="T53" s="97"/>
      <c r="U53" s="98">
        <f t="shared" si="35"/>
        <v>0</v>
      </c>
      <c r="V53" s="98">
        <f t="shared" si="36"/>
        <v>0</v>
      </c>
      <c r="W53" s="99">
        <v>20166</v>
      </c>
      <c r="X53" s="94" t="s">
        <v>126</v>
      </c>
      <c r="Y53" s="96">
        <v>30066392</v>
      </c>
      <c r="Z53" s="39" t="s">
        <v>15</v>
      </c>
      <c r="AA53" s="149" t="s">
        <v>189</v>
      </c>
      <c r="AB53" s="69">
        <v>7</v>
      </c>
      <c r="AC53" s="102">
        <v>56</v>
      </c>
      <c r="AD53" s="96">
        <v>0</v>
      </c>
      <c r="AE53" s="70" t="s">
        <v>197</v>
      </c>
      <c r="AF53" s="96">
        <v>1</v>
      </c>
      <c r="AG53" s="98" t="s">
        <v>53</v>
      </c>
      <c r="AH53" s="104"/>
      <c r="AI53" s="97"/>
      <c r="AJ53" s="97"/>
      <c r="AK53" s="100">
        <f t="shared" si="37"/>
        <v>0</v>
      </c>
      <c r="AL53" s="39"/>
      <c r="AM53" s="98">
        <f t="shared" si="38"/>
        <v>0</v>
      </c>
      <c r="AN53" s="98">
        <f t="shared" si="39"/>
        <v>0</v>
      </c>
      <c r="AO53" s="94"/>
      <c r="AP53" s="94"/>
      <c r="AQ53" s="94"/>
      <c r="AR53" s="94"/>
      <c r="AS53" s="94"/>
    </row>
    <row r="54" spans="1:45" ht="31.5">
      <c r="A54" s="94" t="s">
        <v>73</v>
      </c>
      <c r="B54" s="94"/>
      <c r="C54" s="94"/>
      <c r="D54" s="94"/>
      <c r="E54" s="94"/>
      <c r="F54" s="95" t="s">
        <v>156</v>
      </c>
      <c r="G54" s="94" t="s">
        <v>6</v>
      </c>
      <c r="H54" s="95" t="s">
        <v>37</v>
      </c>
      <c r="I54" s="94" t="s">
        <v>130</v>
      </c>
      <c r="J54" s="128"/>
      <c r="K54" s="94"/>
      <c r="L54" s="39"/>
      <c r="M54" s="39"/>
      <c r="N54" s="96">
        <f>P54*AD54</f>
        <v>5145000</v>
      </c>
      <c r="O54" s="96" t="s">
        <v>37</v>
      </c>
      <c r="P54" s="96">
        <v>367500</v>
      </c>
      <c r="Q54" s="96" t="s">
        <v>38</v>
      </c>
      <c r="R54" s="96"/>
      <c r="S54" s="39"/>
      <c r="T54" s="97"/>
      <c r="U54" s="98">
        <f t="shared" si="35"/>
        <v>0</v>
      </c>
      <c r="V54" s="98">
        <f t="shared" si="36"/>
        <v>0</v>
      </c>
      <c r="W54" s="99"/>
      <c r="X54" s="94" t="s">
        <v>129</v>
      </c>
      <c r="Y54" s="39"/>
      <c r="Z54" s="39"/>
      <c r="AA54" s="94"/>
      <c r="AB54" s="94"/>
      <c r="AC54" s="39">
        <v>0</v>
      </c>
      <c r="AD54" s="102">
        <v>14</v>
      </c>
      <c r="AE54" s="70" t="s">
        <v>208</v>
      </c>
      <c r="AF54" s="96">
        <v>2</v>
      </c>
      <c r="AG54" s="98" t="s">
        <v>203</v>
      </c>
      <c r="AH54" s="39"/>
      <c r="AI54" s="97"/>
      <c r="AJ54" s="97"/>
      <c r="AK54" s="100">
        <f t="shared" si="37"/>
        <v>0</v>
      </c>
      <c r="AL54" s="39"/>
      <c r="AM54" s="98">
        <f t="shared" si="38"/>
        <v>0</v>
      </c>
      <c r="AN54" s="98">
        <f t="shared" si="39"/>
        <v>0</v>
      </c>
      <c r="AO54" s="94"/>
      <c r="AP54" s="94"/>
      <c r="AQ54" s="94"/>
      <c r="AR54" s="94"/>
      <c r="AS54" s="94"/>
    </row>
    <row r="55" spans="1:45">
      <c r="A55" s="94" t="s">
        <v>73</v>
      </c>
      <c r="B55" s="94"/>
      <c r="C55" s="94"/>
      <c r="D55" s="94"/>
      <c r="E55" s="94" t="s">
        <v>133</v>
      </c>
      <c r="F55" s="95" t="s">
        <v>148</v>
      </c>
      <c r="G55" s="94" t="s">
        <v>6</v>
      </c>
      <c r="H55" s="95" t="s">
        <v>37</v>
      </c>
      <c r="I55" s="94" t="s">
        <v>132</v>
      </c>
      <c r="J55" s="128">
        <v>46028</v>
      </c>
      <c r="K55" s="124" t="s">
        <v>136</v>
      </c>
      <c r="L55" s="39"/>
      <c r="M55" s="39"/>
      <c r="N55" s="96"/>
      <c r="O55" s="96" t="s">
        <v>37</v>
      </c>
      <c r="P55" s="96"/>
      <c r="Q55" s="96" t="s">
        <v>38</v>
      </c>
      <c r="R55" s="96"/>
      <c r="S55" s="39"/>
      <c r="T55" s="97"/>
      <c r="U55" s="98">
        <f t="shared" si="35"/>
        <v>0</v>
      </c>
      <c r="V55" s="98">
        <f t="shared" si="36"/>
        <v>0</v>
      </c>
      <c r="W55" s="99">
        <v>20366</v>
      </c>
      <c r="X55" s="94" t="s">
        <v>131</v>
      </c>
      <c r="Y55" s="96">
        <v>16500</v>
      </c>
      <c r="Z55" s="95" t="s">
        <v>37</v>
      </c>
      <c r="AA55" s="149" t="s">
        <v>200</v>
      </c>
      <c r="AB55" s="94">
        <v>11</v>
      </c>
      <c r="AC55" s="39">
        <v>0</v>
      </c>
      <c r="AD55" s="102">
        <v>6</v>
      </c>
      <c r="AE55" s="70" t="s">
        <v>209</v>
      </c>
      <c r="AF55" s="96">
        <v>2</v>
      </c>
      <c r="AG55" s="98" t="str">
        <f t="shared" ref="AG55:AG59" si="41">IF(ISNUMBER(SEARCH("عودت قرض", AE55)),"عودت قرض",IF(ISNUMBER(SEARCH("قرض", AE55)),"قرض",IF(ISNUMBER(SEARCH("کارمزد بانکی", AE55)),"کارمزد بانکی",IF(ISNUMBER(SEARCH("سهم پروژه", AE55)),"سهم پروژه",IF(ISNUMBER(SEARCH("سهم بالاسری", AE55)),"ستاد",IF(ISNUMBER(SEARCH("پرداخت", AE55)),"پرداخت","-"))))))</f>
        <v>پرداخت</v>
      </c>
      <c r="AH55" s="39"/>
      <c r="AI55" s="97"/>
      <c r="AJ55" s="97"/>
      <c r="AK55" s="100">
        <f t="shared" si="37"/>
        <v>0</v>
      </c>
      <c r="AL55" s="39"/>
      <c r="AM55" s="98">
        <f t="shared" si="38"/>
        <v>0</v>
      </c>
      <c r="AN55" s="98">
        <f t="shared" si="39"/>
        <v>0</v>
      </c>
      <c r="AO55" s="94"/>
      <c r="AP55" s="94"/>
      <c r="AQ55" s="94"/>
      <c r="AR55" s="94"/>
      <c r="AS55" s="94"/>
    </row>
    <row r="56" spans="1:45">
      <c r="A56" s="94" t="s">
        <v>73</v>
      </c>
      <c r="B56" s="94"/>
      <c r="C56" s="94"/>
      <c r="D56" s="94"/>
      <c r="E56" s="94" t="s">
        <v>134</v>
      </c>
      <c r="F56" s="95" t="s">
        <v>148</v>
      </c>
      <c r="G56" s="94" t="s">
        <v>6</v>
      </c>
      <c r="H56" s="95" t="s">
        <v>37</v>
      </c>
      <c r="I56" s="94" t="s">
        <v>132</v>
      </c>
      <c r="J56" s="128">
        <v>46028</v>
      </c>
      <c r="K56" s="124" t="s">
        <v>136</v>
      </c>
      <c r="L56" s="39"/>
      <c r="M56" s="39"/>
      <c r="N56" s="96"/>
      <c r="O56" s="96" t="s">
        <v>37</v>
      </c>
      <c r="P56" s="96"/>
      <c r="Q56" s="96" t="s">
        <v>38</v>
      </c>
      <c r="R56" s="96"/>
      <c r="S56" s="39"/>
      <c r="T56" s="97"/>
      <c r="U56" s="98">
        <f t="shared" ref="U56:U65" si="42">L56*T56</f>
        <v>0</v>
      </c>
      <c r="V56" s="98">
        <f t="shared" ref="V56:V65" si="43">L56-U56</f>
        <v>0</v>
      </c>
      <c r="W56" s="99">
        <v>20365</v>
      </c>
      <c r="X56" s="94" t="s">
        <v>131</v>
      </c>
      <c r="Y56" s="96">
        <v>14850</v>
      </c>
      <c r="Z56" s="95" t="s">
        <v>37</v>
      </c>
      <c r="AA56" s="149" t="s">
        <v>200</v>
      </c>
      <c r="AB56" s="94">
        <v>12</v>
      </c>
      <c r="AC56" s="39">
        <v>0</v>
      </c>
      <c r="AD56" s="102">
        <v>3</v>
      </c>
      <c r="AE56" s="70" t="s">
        <v>209</v>
      </c>
      <c r="AF56" s="96">
        <v>2</v>
      </c>
      <c r="AG56" s="98" t="str">
        <f t="shared" si="41"/>
        <v>پرداخت</v>
      </c>
      <c r="AH56" s="39"/>
      <c r="AI56" s="97"/>
      <c r="AJ56" s="97"/>
      <c r="AK56" s="100">
        <f t="shared" ref="AK56:AK65" si="44">IF(AJ56&gt;0,(AI56-AJ56)/AI56,0)</f>
        <v>0</v>
      </c>
      <c r="AL56" s="39"/>
      <c r="AM56" s="98">
        <f t="shared" ref="AM56:AM65" si="45">IF(AL56&gt;0,AL56*AK56,0)</f>
        <v>0</v>
      </c>
      <c r="AN56" s="98">
        <f t="shared" ref="AN56:AN65" si="46">AL56-AM56</f>
        <v>0</v>
      </c>
      <c r="AO56" s="94"/>
      <c r="AP56" s="94"/>
      <c r="AQ56" s="94"/>
      <c r="AR56" s="94"/>
      <c r="AS56" s="94"/>
    </row>
    <row r="57" spans="1:45" ht="47.25">
      <c r="A57" s="94" t="s">
        <v>73</v>
      </c>
      <c r="B57" s="94"/>
      <c r="C57" s="94"/>
      <c r="D57" s="94"/>
      <c r="E57" s="94" t="s">
        <v>135</v>
      </c>
      <c r="F57" s="95" t="s">
        <v>148</v>
      </c>
      <c r="G57" s="94" t="s">
        <v>6</v>
      </c>
      <c r="H57" s="95" t="s">
        <v>37</v>
      </c>
      <c r="I57" s="94" t="s">
        <v>132</v>
      </c>
      <c r="J57" s="128"/>
      <c r="K57" s="94"/>
      <c r="L57" s="39"/>
      <c r="M57" s="39"/>
      <c r="N57" s="96"/>
      <c r="O57" s="96" t="s">
        <v>37</v>
      </c>
      <c r="P57" s="96"/>
      <c r="Q57" s="96" t="s">
        <v>38</v>
      </c>
      <c r="R57" s="96"/>
      <c r="S57" s="39"/>
      <c r="T57" s="97"/>
      <c r="U57" s="98">
        <f t="shared" si="42"/>
        <v>0</v>
      </c>
      <c r="V57" s="98">
        <f t="shared" si="43"/>
        <v>0</v>
      </c>
      <c r="W57" s="99"/>
      <c r="X57" s="94"/>
      <c r="Y57" s="39"/>
      <c r="Z57" s="39"/>
      <c r="AA57" s="94"/>
      <c r="AB57" s="94"/>
      <c r="AC57" s="39">
        <v>0</v>
      </c>
      <c r="AD57" s="103">
        <v>63</v>
      </c>
      <c r="AE57" s="70" t="s">
        <v>155</v>
      </c>
      <c r="AF57" s="96">
        <v>2</v>
      </c>
      <c r="AG57" s="98" t="str">
        <f t="shared" si="41"/>
        <v>کارمزد بانکی</v>
      </c>
      <c r="AH57" s="104">
        <f>AD57/(AD56+AD55)</f>
        <v>7</v>
      </c>
      <c r="AI57" s="97"/>
      <c r="AJ57" s="97"/>
      <c r="AK57" s="100">
        <f t="shared" si="44"/>
        <v>0</v>
      </c>
      <c r="AL57" s="39"/>
      <c r="AM57" s="98">
        <f t="shared" si="45"/>
        <v>0</v>
      </c>
      <c r="AN57" s="98">
        <f t="shared" si="46"/>
        <v>0</v>
      </c>
      <c r="AO57" s="94"/>
      <c r="AP57" s="94"/>
      <c r="AQ57" s="94"/>
      <c r="AR57" s="94"/>
      <c r="AS57" s="94"/>
    </row>
    <row r="58" spans="1:45" s="116" customFormat="1">
      <c r="A58" s="112" t="s">
        <v>73</v>
      </c>
      <c r="B58" s="112"/>
      <c r="C58" s="112"/>
      <c r="D58" s="112"/>
      <c r="E58" s="112"/>
      <c r="F58" s="113" t="s">
        <v>156</v>
      </c>
      <c r="G58" s="112" t="s">
        <v>6</v>
      </c>
      <c r="H58" s="113" t="s">
        <v>37</v>
      </c>
      <c r="I58" s="112" t="s">
        <v>132</v>
      </c>
      <c r="J58" s="129"/>
      <c r="K58" s="112"/>
      <c r="L58" s="109"/>
      <c r="M58" s="109"/>
      <c r="N58" s="111"/>
      <c r="O58" s="96" t="s">
        <v>37</v>
      </c>
      <c r="P58" s="111"/>
      <c r="Q58" s="96" t="s">
        <v>38</v>
      </c>
      <c r="R58" s="111"/>
      <c r="S58" s="109"/>
      <c r="T58" s="117"/>
      <c r="U58" s="115">
        <f t="shared" si="42"/>
        <v>0</v>
      </c>
      <c r="V58" s="115">
        <f t="shared" si="43"/>
        <v>0</v>
      </c>
      <c r="W58" s="114"/>
      <c r="X58" s="112"/>
      <c r="Y58" s="109"/>
      <c r="Z58" s="109"/>
      <c r="AA58" s="112"/>
      <c r="AB58" s="112"/>
      <c r="AC58" s="109">
        <v>0</v>
      </c>
      <c r="AD58" s="109">
        <v>7</v>
      </c>
      <c r="AE58" s="110" t="s">
        <v>212</v>
      </c>
      <c r="AF58" s="111">
        <v>4</v>
      </c>
      <c r="AG58" s="115" t="str">
        <f t="shared" si="41"/>
        <v>قرض</v>
      </c>
      <c r="AH58" s="109"/>
      <c r="AI58" s="117"/>
      <c r="AJ58" s="117"/>
      <c r="AK58" s="118">
        <f t="shared" si="44"/>
        <v>0</v>
      </c>
      <c r="AL58" s="109"/>
      <c r="AM58" s="115">
        <f t="shared" si="45"/>
        <v>0</v>
      </c>
      <c r="AN58" s="115">
        <f t="shared" si="46"/>
        <v>0</v>
      </c>
      <c r="AO58" s="112" t="s">
        <v>6</v>
      </c>
      <c r="AP58" s="113" t="s">
        <v>148</v>
      </c>
      <c r="AQ58" s="113"/>
      <c r="AR58" s="112"/>
      <c r="AS58" s="112"/>
    </row>
    <row r="59" spans="1:45">
      <c r="A59" s="94" t="s">
        <v>73</v>
      </c>
      <c r="B59" s="94"/>
      <c r="C59" s="94"/>
      <c r="D59" s="94"/>
      <c r="E59" s="94"/>
      <c r="F59" s="95" t="s">
        <v>148</v>
      </c>
      <c r="G59" s="94" t="s">
        <v>6</v>
      </c>
      <c r="H59" s="95" t="s">
        <v>37</v>
      </c>
      <c r="I59" s="94" t="s">
        <v>132</v>
      </c>
      <c r="J59" s="128"/>
      <c r="K59" s="94"/>
      <c r="L59" s="39"/>
      <c r="M59" s="39"/>
      <c r="N59" s="96"/>
      <c r="O59" s="96" t="s">
        <v>37</v>
      </c>
      <c r="P59" s="96"/>
      <c r="Q59" s="96" t="s">
        <v>38</v>
      </c>
      <c r="R59" s="96"/>
      <c r="S59" s="39"/>
      <c r="T59" s="97"/>
      <c r="U59" s="98">
        <f t="shared" si="42"/>
        <v>0</v>
      </c>
      <c r="V59" s="98">
        <f t="shared" si="43"/>
        <v>0</v>
      </c>
      <c r="W59" s="99"/>
      <c r="X59" s="94"/>
      <c r="Y59" s="39"/>
      <c r="Z59" s="39"/>
      <c r="AA59" s="94"/>
      <c r="AB59" s="94"/>
      <c r="AC59" s="109">
        <v>7</v>
      </c>
      <c r="AD59" s="39">
        <v>0</v>
      </c>
      <c r="AE59" s="110" t="s">
        <v>212</v>
      </c>
      <c r="AF59" s="96">
        <v>4</v>
      </c>
      <c r="AG59" s="98" t="str">
        <f t="shared" si="41"/>
        <v>قرض</v>
      </c>
      <c r="AH59" s="39"/>
      <c r="AI59" s="97"/>
      <c r="AJ59" s="97"/>
      <c r="AK59" s="100">
        <f t="shared" si="44"/>
        <v>0</v>
      </c>
      <c r="AL59" s="39"/>
      <c r="AM59" s="98">
        <f t="shared" si="45"/>
        <v>0</v>
      </c>
      <c r="AN59" s="98">
        <f t="shared" si="46"/>
        <v>0</v>
      </c>
      <c r="AO59" s="94" t="s">
        <v>6</v>
      </c>
      <c r="AP59" s="94" t="s">
        <v>156</v>
      </c>
      <c r="AQ59" s="94"/>
      <c r="AR59" s="94"/>
      <c r="AS59" s="94"/>
    </row>
    <row r="60" spans="1:45" ht="31.5">
      <c r="A60" s="94" t="s">
        <v>73</v>
      </c>
      <c r="B60" s="94"/>
      <c r="C60" s="94"/>
      <c r="D60" s="94"/>
      <c r="E60" s="94"/>
      <c r="F60" s="95" t="s">
        <v>156</v>
      </c>
      <c r="G60" s="94" t="s">
        <v>6</v>
      </c>
      <c r="H60" s="95" t="s">
        <v>37</v>
      </c>
      <c r="I60" s="94" t="s">
        <v>137</v>
      </c>
      <c r="J60" s="128"/>
      <c r="K60" s="94"/>
      <c r="L60" s="39"/>
      <c r="M60" s="39"/>
      <c r="N60" s="96">
        <f>P60*AD60</f>
        <v>36907500</v>
      </c>
      <c r="O60" s="96" t="s">
        <v>37</v>
      </c>
      <c r="P60" s="96">
        <v>388500</v>
      </c>
      <c r="Q60" s="96" t="s">
        <v>38</v>
      </c>
      <c r="R60" s="96"/>
      <c r="S60" s="39"/>
      <c r="T60" s="97"/>
      <c r="U60" s="98">
        <f t="shared" si="42"/>
        <v>0</v>
      </c>
      <c r="V60" s="98">
        <f t="shared" si="43"/>
        <v>0</v>
      </c>
      <c r="W60" s="99"/>
      <c r="X60" s="94"/>
      <c r="Y60" s="39"/>
      <c r="Z60" s="39"/>
      <c r="AA60" s="94"/>
      <c r="AB60" s="94"/>
      <c r="AC60" s="39">
        <v>0</v>
      </c>
      <c r="AD60" s="102">
        <v>95</v>
      </c>
      <c r="AE60" s="70" t="s">
        <v>208</v>
      </c>
      <c r="AF60" s="96">
        <v>2</v>
      </c>
      <c r="AG60" s="98" t="s">
        <v>203</v>
      </c>
      <c r="AH60" s="39"/>
      <c r="AI60" s="97"/>
      <c r="AJ60" s="97"/>
      <c r="AK60" s="100">
        <f t="shared" si="44"/>
        <v>0</v>
      </c>
      <c r="AL60" s="39"/>
      <c r="AM60" s="98">
        <f t="shared" si="45"/>
        <v>0</v>
      </c>
      <c r="AN60" s="98">
        <f t="shared" si="46"/>
        <v>0</v>
      </c>
      <c r="AO60" s="94"/>
      <c r="AP60" s="94"/>
      <c r="AQ60" s="94"/>
      <c r="AR60" s="94"/>
      <c r="AS60" s="94"/>
    </row>
    <row r="61" spans="1:45">
      <c r="A61" s="94" t="s">
        <v>73</v>
      </c>
      <c r="B61" s="94"/>
      <c r="C61" s="94"/>
      <c r="D61" s="94"/>
      <c r="E61" s="94"/>
      <c r="F61" s="94" t="s">
        <v>4</v>
      </c>
      <c r="G61" s="94" t="s">
        <v>7</v>
      </c>
      <c r="H61" s="95" t="s">
        <v>37</v>
      </c>
      <c r="I61" s="94" t="s">
        <v>137</v>
      </c>
      <c r="J61" s="128"/>
      <c r="K61" s="94"/>
      <c r="L61" s="39"/>
      <c r="M61" s="39"/>
      <c r="N61" s="96">
        <f>P61*AD61</f>
        <v>4662000</v>
      </c>
      <c r="O61" s="96" t="s">
        <v>37</v>
      </c>
      <c r="P61" s="96">
        <v>388500</v>
      </c>
      <c r="Q61" s="96" t="s">
        <v>38</v>
      </c>
      <c r="R61" s="96"/>
      <c r="S61" s="39"/>
      <c r="T61" s="97"/>
      <c r="U61" s="98">
        <f t="shared" si="42"/>
        <v>0</v>
      </c>
      <c r="V61" s="98">
        <f t="shared" si="43"/>
        <v>0</v>
      </c>
      <c r="W61" s="99"/>
      <c r="X61" s="94"/>
      <c r="Y61" s="39"/>
      <c r="Z61" s="39"/>
      <c r="AA61" s="94"/>
      <c r="AB61" s="94"/>
      <c r="AC61" s="39">
        <v>0</v>
      </c>
      <c r="AD61" s="102">
        <v>12</v>
      </c>
      <c r="AE61" s="70" t="s">
        <v>139</v>
      </c>
      <c r="AF61" s="96">
        <v>3</v>
      </c>
      <c r="AG61" s="98" t="s">
        <v>11</v>
      </c>
      <c r="AH61" s="39"/>
      <c r="AI61" s="97"/>
      <c r="AJ61" s="97"/>
      <c r="AK61" s="100">
        <f t="shared" si="44"/>
        <v>0</v>
      </c>
      <c r="AL61" s="39"/>
      <c r="AM61" s="98">
        <f t="shared" si="45"/>
        <v>0</v>
      </c>
      <c r="AN61" s="98">
        <f t="shared" si="46"/>
        <v>0</v>
      </c>
      <c r="AO61" s="94"/>
      <c r="AP61" s="94"/>
      <c r="AQ61" s="94"/>
      <c r="AR61" s="94"/>
      <c r="AS61" s="94"/>
    </row>
    <row r="62" spans="1:45">
      <c r="A62" s="94" t="s">
        <v>73</v>
      </c>
      <c r="B62" s="94"/>
      <c r="C62" s="94"/>
      <c r="D62" s="94"/>
      <c r="E62" s="94" t="s">
        <v>28</v>
      </c>
      <c r="F62" s="95" t="s">
        <v>156</v>
      </c>
      <c r="G62" s="94" t="s">
        <v>6</v>
      </c>
      <c r="H62" s="95" t="s">
        <v>37</v>
      </c>
      <c r="I62" s="94" t="s">
        <v>138</v>
      </c>
      <c r="J62" s="128">
        <v>46037</v>
      </c>
      <c r="K62" s="124" t="s">
        <v>144</v>
      </c>
      <c r="L62" s="39"/>
      <c r="M62" s="39"/>
      <c r="N62" s="96">
        <f>P62*AD62</f>
        <v>19350296.716087546</v>
      </c>
      <c r="O62" s="96" t="s">
        <v>37</v>
      </c>
      <c r="P62" s="121">
        <v>372121.09069399128</v>
      </c>
      <c r="Q62" s="96" t="s">
        <v>38</v>
      </c>
      <c r="R62" s="96"/>
      <c r="S62" s="39"/>
      <c r="T62" s="97"/>
      <c r="U62" s="98">
        <f t="shared" si="42"/>
        <v>0</v>
      </c>
      <c r="V62" s="98">
        <f t="shared" si="43"/>
        <v>0</v>
      </c>
      <c r="W62" s="99">
        <v>20423</v>
      </c>
      <c r="X62" s="94" t="s">
        <v>136</v>
      </c>
      <c r="Y62" s="96">
        <v>52407</v>
      </c>
      <c r="Z62" s="95" t="s">
        <v>37</v>
      </c>
      <c r="AA62" s="149" t="s">
        <v>201</v>
      </c>
      <c r="AB62" s="94">
        <v>13</v>
      </c>
      <c r="AC62" s="39">
        <v>0</v>
      </c>
      <c r="AD62" s="102">
        <v>52</v>
      </c>
      <c r="AE62" s="70" t="s">
        <v>209</v>
      </c>
      <c r="AF62" s="96">
        <v>2</v>
      </c>
      <c r="AG62" s="98" t="str">
        <f t="shared" ref="AG62:AG63" si="47">IF(ISNUMBER(SEARCH("عودت قرض", AE62)),"عودت قرض",IF(ISNUMBER(SEARCH("قرض", AE62)),"قرض",IF(ISNUMBER(SEARCH("کارمزد بانکی", AE62)),"کارمزد بانکی",IF(ISNUMBER(SEARCH("سهم پروژه", AE62)),"سهم پروژه",IF(ISNUMBER(SEARCH("سهم بالاسری", AE62)),"ستاد",IF(ISNUMBER(SEARCH("پرداخت", AE62)),"پرداخت","-"))))))</f>
        <v>پرداخت</v>
      </c>
      <c r="AH62" s="39"/>
      <c r="AI62" s="97"/>
      <c r="AJ62" s="97"/>
      <c r="AK62" s="100">
        <f t="shared" si="44"/>
        <v>0</v>
      </c>
      <c r="AL62" s="39"/>
      <c r="AM62" s="98">
        <f t="shared" si="45"/>
        <v>0</v>
      </c>
      <c r="AN62" s="98">
        <f t="shared" si="46"/>
        <v>0</v>
      </c>
      <c r="AO62" s="94"/>
      <c r="AP62" s="94"/>
      <c r="AQ62" s="39">
        <f t="shared" ref="AQ62:AQ63" si="48">AD62*100/87</f>
        <v>59.770114942528735</v>
      </c>
      <c r="AR62" s="94"/>
      <c r="AS62" s="94"/>
    </row>
    <row r="63" spans="1:45">
      <c r="A63" s="94" t="s">
        <v>73</v>
      </c>
      <c r="B63" s="94"/>
      <c r="C63" s="94"/>
      <c r="D63" s="94"/>
      <c r="E63" s="94" t="s">
        <v>28</v>
      </c>
      <c r="F63" s="95" t="s">
        <v>156</v>
      </c>
      <c r="G63" s="94" t="s">
        <v>6</v>
      </c>
      <c r="H63" s="95" t="s">
        <v>37</v>
      </c>
      <c r="I63" s="94" t="s">
        <v>138</v>
      </c>
      <c r="J63" s="128"/>
      <c r="K63" s="94"/>
      <c r="L63" s="39"/>
      <c r="M63" s="39"/>
      <c r="N63" s="96"/>
      <c r="O63" s="96" t="s">
        <v>37</v>
      </c>
      <c r="P63" s="96"/>
      <c r="Q63" s="96" t="s">
        <v>38</v>
      </c>
      <c r="R63" s="96"/>
      <c r="S63" s="39"/>
      <c r="T63" s="97"/>
      <c r="U63" s="98">
        <f t="shared" si="42"/>
        <v>0</v>
      </c>
      <c r="V63" s="98">
        <f t="shared" si="43"/>
        <v>0</v>
      </c>
      <c r="W63" s="99"/>
      <c r="X63" s="94"/>
      <c r="Y63" s="39"/>
      <c r="Z63" s="95"/>
      <c r="AA63" s="94"/>
      <c r="AB63" s="94"/>
      <c r="AC63" s="39">
        <v>0</v>
      </c>
      <c r="AD63" s="103">
        <v>18</v>
      </c>
      <c r="AE63" s="70" t="s">
        <v>217</v>
      </c>
      <c r="AF63" s="96">
        <v>2</v>
      </c>
      <c r="AG63" s="98" t="str">
        <f t="shared" si="47"/>
        <v>کارمزد بانکی</v>
      </c>
      <c r="AH63" s="104">
        <f>AD63/AD62</f>
        <v>0.34615384615384615</v>
      </c>
      <c r="AI63" s="97"/>
      <c r="AJ63" s="97"/>
      <c r="AK63" s="100">
        <f t="shared" si="44"/>
        <v>0</v>
      </c>
      <c r="AL63" s="39"/>
      <c r="AM63" s="98">
        <f t="shared" si="45"/>
        <v>0</v>
      </c>
      <c r="AN63" s="98">
        <f t="shared" si="46"/>
        <v>0</v>
      </c>
      <c r="AO63" s="94"/>
      <c r="AP63" s="94"/>
      <c r="AQ63" s="39">
        <f t="shared" si="48"/>
        <v>20.689655172413794</v>
      </c>
      <c r="AR63" s="94"/>
      <c r="AS63" s="94"/>
    </row>
    <row r="64" spans="1:45">
      <c r="A64" s="149" t="s">
        <v>73</v>
      </c>
      <c r="B64" s="149"/>
      <c r="C64" s="149"/>
      <c r="D64" s="149"/>
      <c r="E64" s="149"/>
      <c r="F64" s="95" t="s">
        <v>156</v>
      </c>
      <c r="G64" s="149" t="s">
        <v>0</v>
      </c>
      <c r="H64" s="95" t="s">
        <v>37</v>
      </c>
      <c r="I64" s="149" t="s">
        <v>32</v>
      </c>
      <c r="J64" s="128"/>
      <c r="K64" s="149"/>
      <c r="L64" s="39"/>
      <c r="M64" s="39"/>
      <c r="N64" s="96"/>
      <c r="O64" s="96" t="s">
        <v>37</v>
      </c>
      <c r="P64" s="96"/>
      <c r="Q64" s="96" t="s">
        <v>38</v>
      </c>
      <c r="R64" s="96"/>
      <c r="S64" s="39"/>
      <c r="T64" s="97"/>
      <c r="U64" s="98">
        <f t="shared" si="42"/>
        <v>0</v>
      </c>
      <c r="V64" s="98">
        <f t="shared" si="43"/>
        <v>0</v>
      </c>
      <c r="W64" s="99"/>
      <c r="X64" s="149"/>
      <c r="Y64" s="39"/>
      <c r="Z64" s="39"/>
      <c r="AA64" s="149"/>
      <c r="AB64" s="149"/>
      <c r="AC64" s="39">
        <v>0</v>
      </c>
      <c r="AD64" s="39">
        <v>240</v>
      </c>
      <c r="AE64" s="70" t="s">
        <v>213</v>
      </c>
      <c r="AF64" s="96">
        <v>2</v>
      </c>
      <c r="AG64" s="98" t="s">
        <v>101</v>
      </c>
      <c r="AH64" s="39"/>
      <c r="AI64" s="97">
        <v>0.87</v>
      </c>
      <c r="AJ64" s="97">
        <v>0.7</v>
      </c>
      <c r="AK64" s="100">
        <f t="shared" si="44"/>
        <v>0.19540229885057475</v>
      </c>
      <c r="AL64" s="39">
        <f>AD64</f>
        <v>240</v>
      </c>
      <c r="AM64" s="98">
        <f t="shared" si="45"/>
        <v>46.896551724137943</v>
      </c>
      <c r="AN64" s="98">
        <f t="shared" si="46"/>
        <v>193.10344827586206</v>
      </c>
      <c r="AO64" s="149"/>
      <c r="AP64" s="149"/>
      <c r="AQ64" s="149"/>
      <c r="AR64" s="149"/>
      <c r="AS64" s="149"/>
    </row>
    <row r="65" spans="1:45">
      <c r="A65" s="149" t="s">
        <v>73</v>
      </c>
      <c r="B65" s="149"/>
      <c r="C65" s="149"/>
      <c r="D65" s="149"/>
      <c r="E65" s="149"/>
      <c r="F65" s="95" t="s">
        <v>156</v>
      </c>
      <c r="G65" s="149" t="s">
        <v>6</v>
      </c>
      <c r="H65" s="95" t="s">
        <v>37</v>
      </c>
      <c r="I65" s="149" t="s">
        <v>32</v>
      </c>
      <c r="J65" s="128"/>
      <c r="K65" s="149"/>
      <c r="L65" s="39"/>
      <c r="M65" s="39"/>
      <c r="N65" s="96"/>
      <c r="O65" s="96" t="s">
        <v>37</v>
      </c>
      <c r="P65" s="96"/>
      <c r="Q65" s="96" t="s">
        <v>38</v>
      </c>
      <c r="R65" s="96"/>
      <c r="S65" s="39"/>
      <c r="T65" s="97"/>
      <c r="U65" s="98">
        <f t="shared" si="42"/>
        <v>0</v>
      </c>
      <c r="V65" s="98">
        <f t="shared" si="43"/>
        <v>0</v>
      </c>
      <c r="W65" s="99"/>
      <c r="X65" s="149"/>
      <c r="Y65" s="39"/>
      <c r="Z65" s="39"/>
      <c r="AA65" s="149"/>
      <c r="AB65" s="149"/>
      <c r="AC65" s="39">
        <f>AN64</f>
        <v>193.10344827586206</v>
      </c>
      <c r="AD65" s="39">
        <v>0</v>
      </c>
      <c r="AE65" s="70" t="s">
        <v>213</v>
      </c>
      <c r="AF65" s="96">
        <v>1</v>
      </c>
      <c r="AG65" s="98" t="s">
        <v>101</v>
      </c>
      <c r="AH65" s="39"/>
      <c r="AI65" s="97"/>
      <c r="AJ65" s="97"/>
      <c r="AK65" s="100">
        <f t="shared" si="44"/>
        <v>0</v>
      </c>
      <c r="AL65" s="39"/>
      <c r="AM65" s="98">
        <f t="shared" si="45"/>
        <v>0</v>
      </c>
      <c r="AN65" s="98">
        <f t="shared" si="46"/>
        <v>0</v>
      </c>
      <c r="AO65" s="149"/>
      <c r="AP65" s="149"/>
      <c r="AQ65" s="149"/>
      <c r="AR65" s="149"/>
      <c r="AS65" s="149"/>
    </row>
  </sheetData>
  <autoFilter ref="A7:AY7" xr:uid="{D02EC568-0673-47F1-AFBD-9D51F0523344}"/>
  <mergeCells count="3">
    <mergeCell ref="C2:C3"/>
    <mergeCell ref="AU7:AU10"/>
    <mergeCell ref="F2:H2"/>
  </mergeCells>
  <phoneticPr fontId="3" type="noConversion"/>
  <dataValidations count="2">
    <dataValidation type="list" allowBlank="1" showInputMessage="1" showErrorMessage="1" sqref="AF8:AF65" xr:uid="{658ACD61-B7C7-42F0-8FDE-4BC0CB102802}">
      <formula1>$AV$7:$AV$10</formula1>
    </dataValidation>
    <dataValidation type="list" allowBlank="1" showInputMessage="1" showErrorMessage="1" sqref="O8:O65 Q8:Q65" xr:uid="{F9D18657-435E-45A2-8AFE-FA2ACB666A8D}">
      <formula1>$AY$8:$AY$10</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نقدینگی ارزی</vt:lpstr>
      <vt:lpstr>قرض ارزی</vt:lpstr>
      <vt:lpstr>ریز نقدینگی ارزی</vt:lpstr>
      <vt:lpstr>ریز گزارش ارزی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Marjan Karami</dc:creator>
  <cp:lastModifiedBy>user</cp:lastModifiedBy>
  <cp:lastPrinted>2026-02-17T10:30:02Z</cp:lastPrinted>
  <dcterms:created xsi:type="dcterms:W3CDTF">2023-07-17T13:38:01Z</dcterms:created>
  <dcterms:modified xsi:type="dcterms:W3CDTF">2026-06-30T14:51:15Z</dcterms:modified>
</cp:coreProperties>
</file>